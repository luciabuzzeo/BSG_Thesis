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uario\Repos\Thesis\03_LabWork\"/>
    </mc:Choice>
  </mc:AlternateContent>
  <xr:revisionPtr revIDLastSave="0" documentId="13_ncr:1_{57DA7CBF-7B9C-41F1-8CD2-BA9CF87C550B}" xr6:coauthVersionLast="47" xr6:coauthVersionMax="47" xr10:uidLastSave="{00000000-0000-0000-0000-000000000000}"/>
  <bookViews>
    <workbookView xWindow="-110" yWindow="-110" windowWidth="19420" windowHeight="10420" tabRatio="879" xr2:uid="{00000000-000D-0000-FFFF-FFFF00000000}"/>
  </bookViews>
  <sheets>
    <sheet name="0_Summary" sheetId="3" r:id="rId1"/>
    <sheet name="1_RawMaterial" sheetId="1" r:id="rId2"/>
    <sheet name="2_Rheology" sheetId="4" r:id="rId3"/>
    <sheet name="3_BreadFormulation&amp;measurements" sheetId="5" r:id="rId4"/>
    <sheet name="4_BreadComposition" sheetId="9" r:id="rId5"/>
    <sheet name="5_Sensorial" sheetId="6" r:id="rId6"/>
    <sheet name="6_BreadCrumbPorosity" sheetId="10" r:id="rId7"/>
    <sheet name="Extra_RecipientsWeight" sheetId="2" r:id="rId8"/>
  </sheets>
  <externalReferences>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1" i="3" l="1" a="1"/>
  <c r="AA11" i="3" s="1"/>
  <c r="Z11" i="3"/>
  <c r="Y11" i="3" a="1"/>
  <c r="Y11" i="3" s="1"/>
  <c r="X11" i="3"/>
  <c r="W11" i="3" a="1"/>
  <c r="W11" i="3" s="1"/>
  <c r="V11" i="3"/>
  <c r="U11" i="3" a="1"/>
  <c r="U11" i="3" s="1"/>
  <c r="T11" i="3"/>
  <c r="S11" i="3" a="1"/>
  <c r="S11" i="3" s="1"/>
  <c r="R11" i="3"/>
  <c r="AA10" i="3" a="1"/>
  <c r="AA10" i="3" s="1"/>
  <c r="Z10" i="3"/>
  <c r="Y10" i="3" a="1"/>
  <c r="Y10" i="3" s="1"/>
  <c r="X10" i="3"/>
  <c r="W10" i="3" a="1"/>
  <c r="W10" i="3" s="1"/>
  <c r="V10" i="3"/>
  <c r="U10" i="3" a="1"/>
  <c r="U10" i="3" s="1"/>
  <c r="T10" i="3"/>
  <c r="S10" i="3" a="1"/>
  <c r="S10" i="3" s="1"/>
  <c r="R10" i="3"/>
  <c r="AA9" i="3" a="1"/>
  <c r="AA9" i="3" s="1"/>
  <c r="Z9" i="3"/>
  <c r="Y9" i="3" a="1"/>
  <c r="Y9" i="3" s="1"/>
  <c r="X9" i="3"/>
  <c r="W9" i="3" a="1"/>
  <c r="W9" i="3" s="1"/>
  <c r="V9" i="3"/>
  <c r="U9" i="3" a="1"/>
  <c r="U9" i="3" s="1"/>
  <c r="T9" i="3"/>
  <c r="S9" i="3" a="1"/>
  <c r="S9" i="3" s="1"/>
  <c r="R9" i="3"/>
  <c r="AA8" i="3" a="1"/>
  <c r="AA8" i="3" s="1"/>
  <c r="Z8" i="3"/>
  <c r="Y8" i="3" a="1"/>
  <c r="Y8" i="3" s="1"/>
  <c r="X8" i="3"/>
  <c r="W8" i="3" a="1"/>
  <c r="W8" i="3" s="1"/>
  <c r="V8" i="3"/>
  <c r="U8" i="3" a="1"/>
  <c r="U8" i="3" s="1"/>
  <c r="T8" i="3"/>
  <c r="S8" i="3" a="1"/>
  <c r="S8" i="3" s="1"/>
  <c r="R8" i="3"/>
  <c r="AA7" i="3" a="1"/>
  <c r="AA7" i="3" s="1"/>
  <c r="Z7" i="3"/>
  <c r="Y7" i="3" a="1"/>
  <c r="Y7" i="3" s="1"/>
  <c r="X7" i="3"/>
  <c r="W7" i="3" a="1"/>
  <c r="W7" i="3" s="1"/>
  <c r="V7" i="3"/>
  <c r="U7" i="3" a="1"/>
  <c r="U7" i="3" s="1"/>
  <c r="T7" i="3"/>
  <c r="S7" i="3" a="1"/>
  <c r="S7" i="3" s="1"/>
  <c r="R7" i="3"/>
  <c r="AA6" i="3" a="1"/>
  <c r="AA6" i="3" s="1"/>
  <c r="Z6" i="3"/>
  <c r="Y6" i="3" a="1"/>
  <c r="Y6" i="3" s="1"/>
  <c r="X6" i="3"/>
  <c r="W6" i="3" a="1"/>
  <c r="W6" i="3" s="1"/>
  <c r="V6" i="3"/>
  <c r="U6" i="3" a="1"/>
  <c r="U6" i="3" s="1"/>
  <c r="T6" i="3"/>
  <c r="S6" i="3" a="1"/>
  <c r="S6" i="3" s="1"/>
  <c r="R6" i="3"/>
  <c r="AA5" i="3" a="1"/>
  <c r="AA5" i="3" s="1"/>
  <c r="Z5" i="3"/>
  <c r="Y5" i="3" a="1"/>
  <c r="Y5" i="3" s="1"/>
  <c r="X5" i="3"/>
  <c r="W5" i="3" a="1"/>
  <c r="W5" i="3" s="1"/>
  <c r="V5" i="3"/>
  <c r="U5" i="3" a="1"/>
  <c r="U5" i="3" s="1"/>
  <c r="T5" i="3"/>
  <c r="S5" i="3" a="1"/>
  <c r="S5" i="3" s="1"/>
  <c r="R5" i="3"/>
  <c r="AA4" i="3" a="1"/>
  <c r="AA4" i="3" s="1"/>
  <c r="Z4" i="3"/>
  <c r="Y4" i="3" a="1"/>
  <c r="Y4" i="3" s="1"/>
  <c r="X4" i="3"/>
  <c r="W4" i="3" a="1"/>
  <c r="W4" i="3" s="1"/>
  <c r="V4" i="3"/>
  <c r="U4" i="3" a="1"/>
  <c r="U4" i="3" s="1"/>
  <c r="T4" i="3"/>
  <c r="S4" i="3" a="1"/>
  <c r="S4" i="3" s="1"/>
  <c r="R4" i="3"/>
  <c r="AA3" i="3" a="1"/>
  <c r="AA3" i="3" s="1"/>
  <c r="Z3" i="3"/>
  <c r="Y3" i="3" a="1"/>
  <c r="Y3" i="3" s="1"/>
  <c r="X3" i="3"/>
  <c r="W3" i="3" a="1"/>
  <c r="W3" i="3" s="1"/>
  <c r="V3" i="3"/>
  <c r="U3" i="3" a="1"/>
  <c r="U3" i="3" s="1"/>
  <c r="T3" i="3"/>
  <c r="S3" i="3" a="1"/>
  <c r="S3" i="3" s="1"/>
  <c r="R3" i="3"/>
  <c r="U11" i="10" a="1"/>
  <c r="U11" i="10" s="1"/>
  <c r="T11" i="10"/>
  <c r="S11" i="10" a="1"/>
  <c r="S11" i="10" s="1"/>
  <c r="R11" i="10"/>
  <c r="Q11" i="10" a="1"/>
  <c r="Q11" i="10" s="1"/>
  <c r="P11" i="10"/>
  <c r="O11" i="10" a="1"/>
  <c r="O11" i="10" s="1"/>
  <c r="N11" i="10"/>
  <c r="M11" i="10" a="1"/>
  <c r="M11" i="10" s="1"/>
  <c r="L11" i="10"/>
  <c r="U10" i="10" a="1"/>
  <c r="U10" i="10" s="1"/>
  <c r="T10" i="10"/>
  <c r="S10" i="10" a="1"/>
  <c r="S10" i="10" s="1"/>
  <c r="R10" i="10"/>
  <c r="Q10" i="10" a="1"/>
  <c r="Q10" i="10" s="1"/>
  <c r="P10" i="10"/>
  <c r="O10" i="10" a="1"/>
  <c r="O10" i="10" s="1"/>
  <c r="N10" i="10"/>
  <c r="M10" i="10" a="1"/>
  <c r="M10" i="10" s="1"/>
  <c r="L10" i="10"/>
  <c r="U9" i="10" a="1"/>
  <c r="U9" i="10" s="1"/>
  <c r="T9" i="10"/>
  <c r="S9" i="10" a="1"/>
  <c r="S9" i="10" s="1"/>
  <c r="R9" i="10"/>
  <c r="Q9" i="10" a="1"/>
  <c r="Q9" i="10" s="1"/>
  <c r="P9" i="10"/>
  <c r="O9" i="10" a="1"/>
  <c r="O9" i="10" s="1"/>
  <c r="N9" i="10"/>
  <c r="M9" i="10" a="1"/>
  <c r="M9" i="10" s="1"/>
  <c r="L9" i="10"/>
  <c r="U8" i="10" a="1"/>
  <c r="U8" i="10" s="1"/>
  <c r="T8" i="10"/>
  <c r="S8" i="10" a="1"/>
  <c r="S8" i="10" s="1"/>
  <c r="R8" i="10"/>
  <c r="Q8" i="10" a="1"/>
  <c r="Q8" i="10" s="1"/>
  <c r="P8" i="10"/>
  <c r="O8" i="10" a="1"/>
  <c r="O8" i="10" s="1"/>
  <c r="N8" i="10"/>
  <c r="M8" i="10" a="1"/>
  <c r="M8" i="10" s="1"/>
  <c r="L8" i="10"/>
  <c r="U7" i="10" a="1"/>
  <c r="U7" i="10" s="1"/>
  <c r="T7" i="10"/>
  <c r="S7" i="10" a="1"/>
  <c r="S7" i="10" s="1"/>
  <c r="R7" i="10"/>
  <c r="Q7" i="10" a="1"/>
  <c r="Q7" i="10" s="1"/>
  <c r="P7" i="10"/>
  <c r="O7" i="10" a="1"/>
  <c r="O7" i="10" s="1"/>
  <c r="N7" i="10"/>
  <c r="M7" i="10" a="1"/>
  <c r="M7" i="10" s="1"/>
  <c r="L7" i="10"/>
  <c r="U6" i="10" a="1"/>
  <c r="U6" i="10" s="1"/>
  <c r="T6" i="10"/>
  <c r="S6" i="10" a="1"/>
  <c r="S6" i="10" s="1"/>
  <c r="R6" i="10"/>
  <c r="Q6" i="10" a="1"/>
  <c r="Q6" i="10" s="1"/>
  <c r="P6" i="10"/>
  <c r="O6" i="10" a="1"/>
  <c r="O6" i="10" s="1"/>
  <c r="N6" i="10"/>
  <c r="M6" i="10" a="1"/>
  <c r="M6" i="10" s="1"/>
  <c r="L6" i="10"/>
  <c r="U5" i="10" a="1"/>
  <c r="U5" i="10" s="1"/>
  <c r="T5" i="10"/>
  <c r="S5" i="10" a="1"/>
  <c r="S5" i="10" s="1"/>
  <c r="R5" i="10"/>
  <c r="Q5" i="10" a="1"/>
  <c r="Q5" i="10" s="1"/>
  <c r="P5" i="10"/>
  <c r="O5" i="10" a="1"/>
  <c r="O5" i="10" s="1"/>
  <c r="N5" i="10"/>
  <c r="M5" i="10" a="1"/>
  <c r="M5" i="10" s="1"/>
  <c r="L5" i="10"/>
  <c r="U4" i="10" a="1"/>
  <c r="U4" i="10" s="1"/>
  <c r="T4" i="10"/>
  <c r="S4" i="10" a="1"/>
  <c r="S4" i="10" s="1"/>
  <c r="R4" i="10"/>
  <c r="Q4" i="10" a="1"/>
  <c r="Q4" i="10" s="1"/>
  <c r="P4" i="10"/>
  <c r="O4" i="10" a="1"/>
  <c r="O4" i="10" s="1"/>
  <c r="N4" i="10"/>
  <c r="M4" i="10" a="1"/>
  <c r="M4" i="10" s="1"/>
  <c r="L4" i="10"/>
  <c r="U3" i="10" a="1"/>
  <c r="U3" i="10" s="1"/>
  <c r="T3" i="10"/>
  <c r="S3" i="10" a="1"/>
  <c r="S3" i="10" s="1"/>
  <c r="R3" i="10"/>
  <c r="Q3" i="10" a="1"/>
  <c r="Q3" i="10" s="1"/>
  <c r="P3" i="10"/>
  <c r="O3" i="10" a="1"/>
  <c r="O3" i="10" s="1"/>
  <c r="N3" i="10"/>
  <c r="M3" i="10" a="1"/>
  <c r="M3" i="10" s="1"/>
  <c r="L3" i="10"/>
  <c r="J58" i="3" a="1"/>
  <c r="J58" i="3" s="1"/>
  <c r="J57" i="3" a="1"/>
  <c r="J57" i="3" s="1"/>
  <c r="J56" i="3" a="1"/>
  <c r="J56" i="3" s="1"/>
  <c r="J55" i="3" a="1"/>
  <c r="J55" i="3" s="1"/>
  <c r="J54" i="3" a="1"/>
  <c r="J54" i="3" s="1"/>
  <c r="J53" i="3" a="1"/>
  <c r="J53" i="3" s="1"/>
  <c r="J52" i="3" a="1"/>
  <c r="J52" i="3" s="1"/>
  <c r="J51" i="3" a="1"/>
  <c r="J51" i="3" s="1"/>
  <c r="J50" i="3" a="1"/>
  <c r="J50" i="3" s="1"/>
  <c r="J49" i="3" a="1"/>
  <c r="J49" i="3" s="1"/>
  <c r="J48" i="3" a="1"/>
  <c r="J48" i="3" s="1"/>
  <c r="J47" i="3" a="1"/>
  <c r="J47" i="3" s="1"/>
  <c r="J46" i="3" a="1"/>
  <c r="J46" i="3" s="1"/>
  <c r="J45" i="3" a="1"/>
  <c r="J45" i="3" s="1"/>
  <c r="J44" i="3" a="1"/>
  <c r="J44" i="3" s="1"/>
  <c r="J43" i="3" a="1"/>
  <c r="J43" i="3" s="1"/>
  <c r="J42" i="3" a="1"/>
  <c r="J42" i="3" s="1"/>
  <c r="J41" i="3" a="1"/>
  <c r="J41" i="3" s="1"/>
  <c r="J40" i="3" a="1"/>
  <c r="J40" i="3" s="1"/>
  <c r="J39" i="3" a="1"/>
  <c r="J39" i="3" s="1"/>
  <c r="J38" i="3" a="1"/>
  <c r="J38" i="3" s="1"/>
  <c r="J37" i="3" a="1"/>
  <c r="J37" i="3" s="1"/>
  <c r="J36" i="3" a="1"/>
  <c r="J36" i="3" s="1"/>
  <c r="J35" i="3" a="1"/>
  <c r="J35" i="3" s="1"/>
  <c r="J34" i="3" a="1"/>
  <c r="J34" i="3" s="1"/>
  <c r="J33" i="3" a="1"/>
  <c r="J33" i="3" s="1"/>
  <c r="J32" i="3" a="1"/>
  <c r="J32" i="3" s="1"/>
  <c r="J31" i="3" a="1"/>
  <c r="J31" i="3" s="1"/>
  <c r="J30" i="3" a="1"/>
  <c r="J30" i="3" s="1"/>
  <c r="J29" i="3" a="1"/>
  <c r="J29" i="3" s="1"/>
  <c r="J28" i="3" a="1"/>
  <c r="J28" i="3" s="1"/>
  <c r="J27" i="3" a="1"/>
  <c r="J27" i="3" s="1"/>
  <c r="J26" i="3" a="1"/>
  <c r="J26" i="3" s="1"/>
  <c r="J25" i="3" a="1"/>
  <c r="J25" i="3" s="1"/>
  <c r="J24" i="3" a="1"/>
  <c r="J24" i="3" s="1"/>
  <c r="J23" i="3" a="1"/>
  <c r="J23" i="3" s="1"/>
  <c r="J22" i="3" a="1"/>
  <c r="J22" i="3" s="1"/>
  <c r="J21" i="3" a="1"/>
  <c r="J21" i="3" s="1"/>
  <c r="J20" i="3" a="1"/>
  <c r="J20" i="3" s="1"/>
  <c r="J19" i="3" a="1"/>
  <c r="J19" i="3" s="1"/>
  <c r="J18" i="3" a="1"/>
  <c r="J18" i="3" s="1"/>
  <c r="J17" i="3" a="1"/>
  <c r="J17" i="3" s="1"/>
  <c r="J16" i="3" a="1"/>
  <c r="J16" i="3" s="1"/>
  <c r="J15" i="3" a="1"/>
  <c r="J15" i="3" s="1"/>
  <c r="J14" i="3" a="1"/>
  <c r="J14" i="3" s="1"/>
  <c r="J13" i="3" a="1"/>
  <c r="J13" i="3" s="1"/>
  <c r="J12" i="3" a="1"/>
  <c r="J12" i="3" s="1"/>
  <c r="J11" i="3" a="1"/>
  <c r="J11" i="3" s="1"/>
  <c r="J10" i="3" a="1"/>
  <c r="J10" i="3" s="1"/>
  <c r="J9" i="3" a="1"/>
  <c r="J9" i="3" s="1"/>
  <c r="J8" i="3" a="1"/>
  <c r="J8" i="3" s="1"/>
  <c r="J7" i="3" a="1"/>
  <c r="J7" i="3" s="1"/>
  <c r="J6" i="3" a="1"/>
  <c r="J6" i="3" s="1"/>
  <c r="J5" i="3" a="1"/>
  <c r="J5" i="3" s="1"/>
  <c r="J4" i="3" a="1"/>
  <c r="J4" i="3" s="1"/>
  <c r="J3" i="3" a="1"/>
  <c r="J3" i="3" s="1"/>
  <c r="J86" i="3" a="1"/>
  <c r="J86" i="3" s="1"/>
  <c r="I86" i="3" a="1"/>
  <c r="I86" i="3" s="1"/>
  <c r="J85" i="3" a="1"/>
  <c r="J85" i="3" s="1"/>
  <c r="I85" i="3" a="1"/>
  <c r="I85" i="3" s="1"/>
  <c r="J84" i="3" a="1"/>
  <c r="J84" i="3" s="1"/>
  <c r="I84" i="3" a="1"/>
  <c r="I84" i="3" s="1"/>
  <c r="J83" i="3" a="1"/>
  <c r="J83" i="3" s="1"/>
  <c r="I83" i="3" a="1"/>
  <c r="I83" i="3" s="1"/>
  <c r="J82" i="3" a="1"/>
  <c r="J82" i="3" s="1"/>
  <c r="I82" i="3" a="1"/>
  <c r="I82" i="3" s="1"/>
  <c r="J81" i="3" a="1"/>
  <c r="J81" i="3" s="1"/>
  <c r="I81" i="3" a="1"/>
  <c r="I81" i="3" s="1"/>
  <c r="J80" i="3" a="1"/>
  <c r="J80" i="3" s="1"/>
  <c r="I80" i="3" a="1"/>
  <c r="I80" i="3" s="1"/>
  <c r="J79" i="3" a="1"/>
  <c r="J79" i="3" s="1"/>
  <c r="I79" i="3" a="1"/>
  <c r="I79" i="3"/>
  <c r="J78" i="3" a="1"/>
  <c r="J78" i="3" s="1"/>
  <c r="I78" i="3" a="1"/>
  <c r="I78" i="3" s="1"/>
  <c r="J77" i="3" a="1"/>
  <c r="J77" i="3" s="1"/>
  <c r="I77" i="3" a="1"/>
  <c r="I77" i="3" s="1"/>
  <c r="J76" i="3" a="1"/>
  <c r="J76" i="3"/>
  <c r="I76" i="3" a="1"/>
  <c r="I76" i="3" s="1"/>
  <c r="J75" i="3" a="1"/>
  <c r="J75" i="3" s="1"/>
  <c r="I75" i="3" a="1"/>
  <c r="I75" i="3"/>
  <c r="J74" i="3" a="1"/>
  <c r="J74" i="3"/>
  <c r="I74" i="3" a="1"/>
  <c r="I74" i="3" s="1"/>
  <c r="J73" i="3" a="1"/>
  <c r="J73" i="3" s="1"/>
  <c r="I73" i="3" a="1"/>
  <c r="I73" i="3" s="1"/>
  <c r="J72" i="3" a="1"/>
  <c r="J72" i="3" s="1"/>
  <c r="I72" i="3" a="1"/>
  <c r="I72" i="3" s="1"/>
  <c r="J71" i="3" a="1"/>
  <c r="J71" i="3" s="1"/>
  <c r="I71" i="3" a="1"/>
  <c r="I71" i="3" s="1"/>
  <c r="J70" i="3" a="1"/>
  <c r="J70" i="3" s="1"/>
  <c r="I70" i="3" a="1"/>
  <c r="I70" i="3" s="1"/>
  <c r="J69" i="3" a="1"/>
  <c r="J69" i="3" s="1"/>
  <c r="I69" i="3" a="1"/>
  <c r="I69" i="3" s="1"/>
  <c r="J68" i="3" a="1"/>
  <c r="J68" i="3" s="1"/>
  <c r="I68" i="3" a="1"/>
  <c r="I68" i="3" s="1"/>
  <c r="J67" i="3" a="1"/>
  <c r="J67" i="3" s="1"/>
  <c r="I67" i="3" a="1"/>
  <c r="I67" i="3" s="1"/>
  <c r="J66" i="3" a="1"/>
  <c r="J66" i="3"/>
  <c r="I66" i="3" a="1"/>
  <c r="I66" i="3" s="1"/>
  <c r="J65" i="3" a="1"/>
  <c r="J65" i="3" s="1"/>
  <c r="I65" i="3" a="1"/>
  <c r="I65" i="3" s="1"/>
  <c r="J64" i="3" a="1"/>
  <c r="J64" i="3"/>
  <c r="I64" i="3" a="1"/>
  <c r="I64" i="3" s="1"/>
  <c r="J63" i="3" a="1"/>
  <c r="J63" i="3" s="1"/>
  <c r="I63" i="3" a="1"/>
  <c r="I63" i="3" s="1"/>
  <c r="J62" i="3" a="1"/>
  <c r="J62" i="3" s="1"/>
  <c r="I62" i="3" a="1"/>
  <c r="I62" i="3" s="1"/>
  <c r="J61" i="3" a="1"/>
  <c r="J61" i="3" s="1"/>
  <c r="I61" i="3" a="1"/>
  <c r="I61" i="3" s="1"/>
  <c r="J60" i="3" a="1"/>
  <c r="J60" i="3" s="1"/>
  <c r="I60" i="3" a="1"/>
  <c r="I60" i="3" s="1"/>
  <c r="J59" i="3" a="1"/>
  <c r="J59" i="3" s="1"/>
  <c r="I59" i="3" a="1"/>
  <c r="I59" i="3" s="1"/>
  <c r="I58" i="3" a="1"/>
  <c r="I58" i="3" s="1"/>
  <c r="I57" i="3" a="1"/>
  <c r="I57" i="3" s="1"/>
  <c r="I56" i="3" a="1"/>
  <c r="I56" i="3" s="1"/>
  <c r="I55" i="3" a="1"/>
  <c r="I55" i="3" s="1"/>
  <c r="I54" i="3" a="1"/>
  <c r="I54" i="3" s="1"/>
  <c r="I53" i="3" a="1"/>
  <c r="I53" i="3" s="1"/>
  <c r="I52" i="3" a="1"/>
  <c r="I52" i="3" s="1"/>
  <c r="I51" i="3" a="1"/>
  <c r="I51" i="3" s="1"/>
  <c r="I50" i="3" a="1"/>
  <c r="I50" i="3" s="1"/>
  <c r="I49" i="3" a="1"/>
  <c r="I49" i="3" s="1"/>
  <c r="I48" i="3" a="1"/>
  <c r="I48" i="3" s="1"/>
  <c r="I47" i="3" a="1"/>
  <c r="I47" i="3" s="1"/>
  <c r="I46" i="3" a="1"/>
  <c r="I46" i="3" s="1"/>
  <c r="I45" i="3" a="1"/>
  <c r="I45" i="3" s="1"/>
  <c r="I44" i="3" a="1"/>
  <c r="I44" i="3" s="1"/>
  <c r="I43" i="3" a="1"/>
  <c r="I43" i="3" s="1"/>
  <c r="I42" i="3" a="1"/>
  <c r="I42" i="3" s="1"/>
  <c r="I41" i="3" a="1"/>
  <c r="I41" i="3" s="1"/>
  <c r="I40" i="3" a="1"/>
  <c r="I40" i="3" s="1"/>
  <c r="I39" i="3" a="1"/>
  <c r="I39" i="3" s="1"/>
  <c r="I38" i="3" a="1"/>
  <c r="I38" i="3" s="1"/>
  <c r="I37" i="3" a="1"/>
  <c r="I37" i="3" s="1"/>
  <c r="I36" i="3" a="1"/>
  <c r="I36" i="3" s="1"/>
  <c r="I35" i="3" a="1"/>
  <c r="I35" i="3" s="1"/>
  <c r="I34" i="3" a="1"/>
  <c r="I34" i="3" s="1"/>
  <c r="I33" i="3" a="1"/>
  <c r="I33" i="3" s="1"/>
  <c r="I32" i="3" a="1"/>
  <c r="I32" i="3" s="1"/>
  <c r="I31" i="3" a="1"/>
  <c r="I31" i="3" s="1"/>
  <c r="I30" i="3" a="1"/>
  <c r="I30" i="3" s="1"/>
  <c r="I29" i="3" a="1"/>
  <c r="I29" i="3" s="1"/>
  <c r="I28" i="3" a="1"/>
  <c r="I28" i="3" s="1"/>
  <c r="I27" i="3" a="1"/>
  <c r="I27" i="3" s="1"/>
  <c r="I26" i="3" a="1"/>
  <c r="I26" i="3" s="1"/>
  <c r="I25" i="3" a="1"/>
  <c r="I25" i="3" s="1"/>
  <c r="I24" i="3" a="1"/>
  <c r="I24" i="3" s="1"/>
  <c r="I23" i="3" a="1"/>
  <c r="I23" i="3" s="1"/>
  <c r="I22" i="3" a="1"/>
  <c r="I22" i="3" s="1"/>
  <c r="I21" i="3" a="1"/>
  <c r="I21" i="3" s="1"/>
  <c r="I20" i="3" a="1"/>
  <c r="I20" i="3" s="1"/>
  <c r="I19" i="3" a="1"/>
  <c r="I19" i="3" s="1"/>
  <c r="I18" i="3" a="1"/>
  <c r="I18" i="3" s="1"/>
  <c r="I17" i="3" a="1"/>
  <c r="I17" i="3" s="1"/>
  <c r="I16" i="3" a="1"/>
  <c r="I16" i="3" s="1"/>
  <c r="I15" i="3" a="1"/>
  <c r="I15" i="3" s="1"/>
  <c r="I14" i="3" a="1"/>
  <c r="I14" i="3" s="1"/>
  <c r="I13" i="3" a="1"/>
  <c r="I13" i="3" s="1"/>
  <c r="I12" i="3" a="1"/>
  <c r="I12" i="3" s="1"/>
  <c r="I11" i="3" a="1"/>
  <c r="I11" i="3" s="1"/>
  <c r="I10" i="3" a="1"/>
  <c r="I10" i="3" s="1"/>
  <c r="I9" i="3" a="1"/>
  <c r="I9" i="3" s="1"/>
  <c r="I8" i="3" a="1"/>
  <c r="I8" i="3" s="1"/>
  <c r="I7" i="3" a="1"/>
  <c r="I7" i="3" s="1"/>
  <c r="I6" i="3" a="1"/>
  <c r="I6" i="3" s="1"/>
  <c r="I5" i="3" a="1"/>
  <c r="I5" i="3" s="1"/>
  <c r="I4" i="3" a="1"/>
  <c r="I4" i="3" s="1"/>
  <c r="I3" i="3" a="1"/>
  <c r="I3" i="3" s="1"/>
  <c r="I57" i="9"/>
  <c r="I56" i="9"/>
  <c r="L81" i="9"/>
  <c r="L80" i="9"/>
  <c r="L79" i="9"/>
  <c r="L78" i="9"/>
  <c r="L77" i="9"/>
  <c r="L76" i="9"/>
  <c r="L75" i="9"/>
  <c r="L74" i="9"/>
  <c r="L73" i="9"/>
  <c r="I98" i="9"/>
  <c r="I97" i="9"/>
  <c r="I96" i="9"/>
  <c r="I95" i="9"/>
  <c r="I94" i="9"/>
  <c r="I93" i="9"/>
  <c r="I92" i="9"/>
  <c r="I91" i="9"/>
  <c r="I90" i="9"/>
  <c r="I89" i="9"/>
  <c r="I88" i="9"/>
  <c r="I87" i="9"/>
  <c r="I86" i="9"/>
  <c r="I85" i="9"/>
  <c r="I84" i="9"/>
  <c r="I83" i="9"/>
  <c r="I82" i="9"/>
  <c r="I99" i="9"/>
  <c r="I73" i="9"/>
  <c r="I72" i="9"/>
  <c r="C72" i="9"/>
  <c r="I70" i="9"/>
  <c r="C70" i="9"/>
  <c r="I68" i="9"/>
  <c r="C68" i="9"/>
  <c r="I66" i="9"/>
  <c r="C66" i="9"/>
  <c r="I64" i="9"/>
  <c r="C64" i="9"/>
  <c r="I62" i="9"/>
  <c r="C62" i="9"/>
  <c r="I60" i="9"/>
  <c r="C60" i="9"/>
  <c r="I58" i="9"/>
  <c r="C58" i="9"/>
  <c r="C56" i="9"/>
  <c r="C99" i="9"/>
  <c r="C97" i="9"/>
  <c r="C95" i="9"/>
  <c r="C93" i="9"/>
  <c r="C91" i="9"/>
  <c r="C89" i="9"/>
  <c r="C87" i="9"/>
  <c r="C85" i="9"/>
  <c r="C83" i="9"/>
  <c r="I54" i="9"/>
  <c r="C54" i="9"/>
  <c r="I52" i="9"/>
  <c r="C52" i="9"/>
  <c r="I50" i="9"/>
  <c r="C50" i="9"/>
  <c r="I48" i="9"/>
  <c r="C48" i="9"/>
  <c r="I46" i="9"/>
  <c r="C46" i="9"/>
  <c r="I44" i="9"/>
  <c r="C44" i="9"/>
  <c r="I42" i="9"/>
  <c r="C42" i="9"/>
  <c r="I40" i="9"/>
  <c r="C40" i="9"/>
  <c r="I38" i="9"/>
  <c r="C38" i="9"/>
  <c r="I71" i="9"/>
  <c r="C71" i="9"/>
  <c r="I69" i="9"/>
  <c r="C69" i="9"/>
  <c r="I67" i="9"/>
  <c r="C67" i="9"/>
  <c r="I65" i="9"/>
  <c r="C65" i="9"/>
  <c r="I63" i="9"/>
  <c r="C63" i="9"/>
  <c r="I61" i="9"/>
  <c r="C61" i="9"/>
  <c r="I59" i="9"/>
  <c r="C59" i="9"/>
  <c r="C57" i="9"/>
  <c r="I55" i="9"/>
  <c r="C55" i="9"/>
  <c r="C98" i="9"/>
  <c r="C96" i="9"/>
  <c r="C94" i="9"/>
  <c r="C92" i="9"/>
  <c r="C90" i="9"/>
  <c r="C88" i="9"/>
  <c r="C86" i="9"/>
  <c r="C84" i="9"/>
  <c r="C82" i="9"/>
  <c r="I53" i="9"/>
  <c r="C53" i="9"/>
  <c r="I51" i="9"/>
  <c r="C51" i="9"/>
  <c r="I49" i="9"/>
  <c r="C49" i="9"/>
  <c r="I47" i="9"/>
  <c r="C47" i="9"/>
  <c r="I45" i="9"/>
  <c r="C45" i="9"/>
  <c r="I43" i="9"/>
  <c r="C43" i="9"/>
  <c r="I41" i="9"/>
  <c r="C41" i="9"/>
  <c r="I39" i="9"/>
  <c r="C39" i="9"/>
  <c r="I37" i="9"/>
  <c r="C37" i="9"/>
  <c r="C76" i="9"/>
  <c r="C77" i="9"/>
  <c r="C78" i="9"/>
  <c r="C79" i="9"/>
  <c r="C80" i="9"/>
  <c r="C81" i="9"/>
  <c r="I76" i="9"/>
  <c r="I77" i="9"/>
  <c r="I78" i="9"/>
  <c r="I79" i="9"/>
  <c r="I80" i="9"/>
  <c r="I81"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73" i="9"/>
  <c r="C74" i="9"/>
  <c r="C75" i="9"/>
  <c r="I75" i="9"/>
  <c r="I74" i="9"/>
  <c r="D4" i="5"/>
  <c r="D5" i="5"/>
  <c r="D6" i="5"/>
  <c r="D7" i="5"/>
  <c r="D8" i="5"/>
  <c r="D9" i="5"/>
  <c r="D10" i="5"/>
  <c r="D11" i="5"/>
  <c r="D12" i="5"/>
  <c r="D13" i="5"/>
  <c r="D14" i="5"/>
  <c r="D15" i="5"/>
  <c r="D16" i="5"/>
  <c r="D3" i="5"/>
  <c r="O4" i="3" a="1"/>
  <c r="O4" i="3"/>
  <c r="O5" i="3" a="1"/>
  <c r="O5" i="3"/>
  <c r="O6" i="3" a="1"/>
  <c r="O6" i="3"/>
  <c r="O7" i="3" a="1"/>
  <c r="O7" i="3"/>
  <c r="O8" i="3" a="1"/>
  <c r="O8" i="3"/>
  <c r="O9" i="3" a="1"/>
  <c r="O9" i="3"/>
  <c r="O10" i="3" a="1"/>
  <c r="O10" i="3"/>
  <c r="O11" i="3" a="1"/>
  <c r="O11" i="3" s="1"/>
  <c r="O12" i="3" a="1"/>
  <c r="O12" i="3"/>
  <c r="O13" i="3" a="1"/>
  <c r="O13" i="3" s="1"/>
  <c r="O14" i="3" a="1"/>
  <c r="O14" i="3"/>
  <c r="O15" i="3" a="1"/>
  <c r="O15" i="3" s="1"/>
  <c r="O16" i="3" a="1"/>
  <c r="O16" i="3" s="1"/>
  <c r="O3" i="3" a="1"/>
  <c r="O3" i="3" s="1"/>
  <c r="N4" i="3"/>
  <c r="N5" i="3"/>
  <c r="N6" i="3"/>
  <c r="N7" i="3"/>
  <c r="N8" i="3"/>
  <c r="N9" i="3"/>
  <c r="N10" i="3"/>
  <c r="N11" i="3"/>
  <c r="N12" i="3"/>
  <c r="N13" i="3"/>
  <c r="N14" i="3"/>
  <c r="N15" i="3"/>
  <c r="N16" i="3"/>
  <c r="N3" i="3"/>
  <c r="N51"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0" i="6"/>
  <c r="N49" i="6"/>
  <c r="N48" i="6"/>
  <c r="N47" i="6"/>
  <c r="N46" i="6"/>
  <c r="N45" i="6"/>
  <c r="N44" i="6"/>
  <c r="N43" i="6"/>
  <c r="N16" i="5"/>
  <c r="N15" i="5"/>
  <c r="N14" i="5"/>
  <c r="N13" i="5"/>
  <c r="N12" i="5"/>
  <c r="N11" i="5"/>
  <c r="N10" i="5"/>
  <c r="N9" i="5"/>
  <c r="N8" i="5"/>
  <c r="D21" i="3" a="1"/>
  <c r="D21" i="3"/>
  <c r="D20" i="3" a="1"/>
  <c r="D20" i="3" s="1"/>
  <c r="D19" i="3" a="1"/>
  <c r="D19" i="3" s="1"/>
  <c r="D18" i="3" a="1"/>
  <c r="D18" i="3" s="1"/>
  <c r="D17" i="3" a="1"/>
  <c r="D17" i="3" s="1"/>
  <c r="D16" i="3" a="1"/>
  <c r="D16" i="3" s="1"/>
  <c r="D15" i="3" a="1"/>
  <c r="D15" i="3" s="1"/>
  <c r="D14" i="3" a="1"/>
  <c r="D14" i="3" s="1"/>
  <c r="D13" i="3" a="1"/>
  <c r="D13" i="3" s="1"/>
  <c r="D12" i="3" a="1"/>
  <c r="D12" i="3" s="1"/>
  <c r="D11" i="3" a="1"/>
  <c r="D11" i="3" s="1"/>
  <c r="D10" i="3" a="1"/>
  <c r="D10" i="3"/>
  <c r="D9" i="3" a="1"/>
  <c r="D9" i="3" s="1"/>
  <c r="D8" i="3" a="1"/>
  <c r="D8" i="3" s="1"/>
  <c r="D7" i="3" a="1"/>
  <c r="D7" i="3"/>
  <c r="D6" i="3" a="1"/>
  <c r="D6" i="3" s="1"/>
  <c r="D5" i="3" a="1"/>
  <c r="D5" i="3" s="1"/>
  <c r="D4" i="3" a="1"/>
  <c r="D4" i="3" s="1"/>
  <c r="D3" i="3" a="1"/>
  <c r="D3" i="3" s="1"/>
  <c r="C19" i="3" a="1"/>
  <c r="C19" i="3" s="1"/>
  <c r="C20" i="3" a="1"/>
  <c r="C20" i="3"/>
  <c r="C21" i="3" a="1"/>
  <c r="C21" i="3"/>
  <c r="C11" i="3" a="1"/>
  <c r="C11" i="3" s="1"/>
  <c r="C12" i="3" a="1"/>
  <c r="C12" i="3"/>
  <c r="C13" i="3" a="1"/>
  <c r="C13" i="3"/>
  <c r="C14" i="3" a="1"/>
  <c r="C14" i="3" s="1"/>
  <c r="C18" i="3" a="1"/>
  <c r="C18" i="3"/>
  <c r="B39" i="1"/>
  <c r="B38" i="1"/>
  <c r="B36" i="1"/>
  <c r="B37" i="1"/>
  <c r="B35" i="1"/>
  <c r="B34" i="1"/>
  <c r="B33" i="1"/>
  <c r="B32" i="1"/>
  <c r="I35" i="9"/>
  <c r="I36" i="9"/>
  <c r="I33" i="9"/>
  <c r="I34" i="9"/>
  <c r="I30" i="9"/>
  <c r="I31" i="9"/>
  <c r="I32" i="9"/>
  <c r="I29" i="9"/>
  <c r="I28" i="9"/>
  <c r="I27" i="9"/>
  <c r="N7" i="5"/>
  <c r="N6" i="5"/>
  <c r="N5" i="5"/>
  <c r="N4" i="5"/>
  <c r="N3" i="5"/>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3" i="6"/>
  <c r="I18" i="9"/>
  <c r="I19" i="9"/>
  <c r="I20" i="9"/>
  <c r="I21" i="9"/>
  <c r="I22" i="9"/>
  <c r="I23" i="9"/>
  <c r="I24" i="9"/>
  <c r="I25" i="9"/>
  <c r="I26" i="9"/>
  <c r="I17" i="9"/>
  <c r="I15" i="9"/>
  <c r="I16" i="9"/>
  <c r="I4" i="9"/>
  <c r="I14" i="9"/>
  <c r="I13" i="9"/>
  <c r="I12" i="9"/>
  <c r="I11" i="9"/>
  <c r="I10" i="9"/>
  <c r="I9" i="9"/>
  <c r="I8" i="9"/>
  <c r="I7" i="9"/>
  <c r="I6" i="9"/>
  <c r="I5" i="9"/>
  <c r="I3" i="9"/>
  <c r="I2" i="9"/>
  <c r="H19" i="1"/>
  <c r="H20" i="1"/>
  <c r="H21" i="1"/>
  <c r="H22" i="1"/>
  <c r="H23" i="1"/>
  <c r="H24" i="1"/>
  <c r="H25" i="1"/>
  <c r="H26" i="1"/>
  <c r="H27" i="1"/>
  <c r="H28" i="1"/>
  <c r="H29" i="1"/>
  <c r="H30" i="1"/>
  <c r="H31" i="1"/>
  <c r="H18" i="1"/>
  <c r="H2" i="1"/>
  <c r="K2" i="1" s="1"/>
  <c r="H3" i="1"/>
  <c r="K3" i="1" s="1"/>
  <c r="M19" i="1" s="1"/>
  <c r="H4" i="1"/>
  <c r="H5" i="1"/>
  <c r="K5" i="1" s="1"/>
  <c r="M21" i="1" s="1"/>
  <c r="H6" i="1"/>
  <c r="K6" i="1" s="1"/>
  <c r="H7" i="1"/>
  <c r="K7" i="1" s="1"/>
  <c r="M23" i="1" s="1"/>
  <c r="H8" i="1"/>
  <c r="K8" i="1" s="1"/>
  <c r="H9" i="1"/>
  <c r="K9" i="1" s="1"/>
  <c r="H10" i="1"/>
  <c r="H11" i="1"/>
  <c r="L11" i="1" s="1"/>
  <c r="H12" i="1"/>
  <c r="L12" i="1" s="1"/>
  <c r="H13" i="1"/>
  <c r="L13" i="1" s="1"/>
  <c r="H14" i="1"/>
  <c r="L14" i="1" s="1"/>
  <c r="H15" i="1"/>
  <c r="L15" i="1" s="1"/>
  <c r="H16" i="1"/>
  <c r="L16" i="1" s="1"/>
  <c r="H17" i="1"/>
  <c r="L17" i="1" s="1"/>
  <c r="J26" i="1"/>
  <c r="J27" i="1"/>
  <c r="J28" i="1"/>
  <c r="J29" i="1"/>
  <c r="J30" i="1"/>
  <c r="J3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2" i="1"/>
  <c r="C10" i="3" l="1" a="1"/>
  <c r="C10" i="3" s="1"/>
  <c r="C9" i="3" a="1"/>
  <c r="C9" i="3" s="1"/>
  <c r="C8" i="3" a="1"/>
  <c r="C8" i="3" s="1"/>
  <c r="C3" i="3" a="1"/>
  <c r="C3" i="3" s="1"/>
  <c r="M24" i="1"/>
  <c r="C6" i="3" a="1"/>
  <c r="C6" i="3" s="1"/>
  <c r="M22" i="1"/>
  <c r="C5" i="3" a="1"/>
  <c r="C5" i="3" s="1"/>
  <c r="M18" i="1"/>
  <c r="M8" i="9"/>
  <c r="M9" i="9"/>
  <c r="M10" i="9"/>
  <c r="M11" i="9"/>
  <c r="M12" i="9"/>
  <c r="M13" i="9"/>
  <c r="M14" i="9"/>
  <c r="M16" i="9"/>
  <c r="M15" i="9"/>
  <c r="M7" i="9"/>
  <c r="J17" i="1"/>
  <c r="J16" i="1"/>
  <c r="J15" i="1"/>
  <c r="J14" i="1"/>
  <c r="J13" i="1"/>
  <c r="J12" i="1"/>
  <c r="J11" i="1"/>
  <c r="L10" i="1"/>
  <c r="J10" i="1"/>
  <c r="K5" i="9"/>
  <c r="K6" i="9"/>
  <c r="K4" i="9"/>
  <c r="K2" i="9"/>
  <c r="K3" i="9"/>
  <c r="J9" i="1"/>
  <c r="M25" i="1"/>
  <c r="K4" i="1"/>
  <c r="J2" i="1"/>
  <c r="J4" i="1"/>
  <c r="J6" i="1"/>
  <c r="J8" i="1"/>
  <c r="J5" i="1"/>
  <c r="P29" i="1"/>
  <c r="J7" i="1"/>
  <c r="P28" i="1"/>
  <c r="C16" i="3" s="1" a="1"/>
  <c r="C16" i="3" s="1"/>
  <c r="J3" i="1"/>
  <c r="M20" i="1" l="1"/>
  <c r="C4" i="3" a="1"/>
  <c r="C4" i="3" s="1"/>
  <c r="C7" i="3" a="1"/>
  <c r="C7" i="3" s="1"/>
  <c r="L6" i="9"/>
  <c r="L5" i="9"/>
  <c r="L3" i="9"/>
  <c r="L4" i="9"/>
  <c r="L2" i="9"/>
  <c r="P30" i="1"/>
  <c r="P26" i="1"/>
  <c r="P31" i="1"/>
  <c r="P27" i="1"/>
  <c r="C17" i="3" l="1" a="1"/>
  <c r="C17" i="3" s="1"/>
  <c r="C15" i="3" a="1"/>
  <c r="C1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<sst xmlns="http://schemas.openxmlformats.org/spreadsheetml/2006/main" count="1399" uniqueCount="153">
  <si>
    <t>RAW MATERIAL</t>
  </si>
  <si>
    <t>BREAD COMPOSITION</t>
  </si>
  <si>
    <t>SENSORIAL</t>
  </si>
  <si>
    <t>Parameter</t>
  </si>
  <si>
    <t>Sample</t>
  </si>
  <si>
    <t>Average (%)</t>
  </si>
  <si>
    <t>SD (%)</t>
  </si>
  <si>
    <t>Test</t>
  </si>
  <si>
    <t>Avg Overall Points</t>
  </si>
  <si>
    <t>Moisture</t>
  </si>
  <si>
    <t>Flour</t>
  </si>
  <si>
    <t>BSG</t>
  </si>
  <si>
    <t>10% BSG</t>
  </si>
  <si>
    <t>10% BSG Mixture</t>
  </si>
  <si>
    <t xml:space="preserve">20% BSG </t>
  </si>
  <si>
    <t>20% BSG Mixture</t>
  </si>
  <si>
    <t>10% BSG+70ppmE</t>
  </si>
  <si>
    <t>Ash</t>
  </si>
  <si>
    <t>20% BSG+70ppmE</t>
  </si>
  <si>
    <t>Protein</t>
  </si>
  <si>
    <t>10% BSG_fraction+70ppmE</t>
  </si>
  <si>
    <t>20% BSG_fraction+70ppmE</t>
  </si>
  <si>
    <t>10% BSG+140ppmE</t>
  </si>
  <si>
    <t>20% BSG+140ppmE</t>
  </si>
  <si>
    <t>Gluten</t>
  </si>
  <si>
    <t>20% BSG</t>
  </si>
  <si>
    <t>10% BSG_fraction+140ppmE</t>
  </si>
  <si>
    <t>20% BSG_fraction+140ppmE</t>
  </si>
  <si>
    <t>Fibre</t>
  </si>
  <si>
    <t>Volume</t>
  </si>
  <si>
    <t>H/W ratio</t>
  </si>
  <si>
    <t>N</t>
  </si>
  <si>
    <t>Name</t>
  </si>
  <si>
    <t>Rep</t>
  </si>
  <si>
    <t>Recipient number</t>
  </si>
  <si>
    <t>Sample Weight (g)</t>
  </si>
  <si>
    <t>Incial Weight (g)</t>
  </si>
  <si>
    <t>Final Weight (g)</t>
  </si>
  <si>
    <t>Weight Loss (g)</t>
  </si>
  <si>
    <t>Moisture (%)</t>
  </si>
  <si>
    <t>Dry Matter</t>
  </si>
  <si>
    <t>Consumption of Acid (Protein)</t>
  </si>
  <si>
    <t>Crude protein content (100% dry matter)</t>
  </si>
  <si>
    <t>Wet Gluten (%)</t>
  </si>
  <si>
    <t>Total Fibre (%)</t>
  </si>
  <si>
    <t>Date</t>
  </si>
  <si>
    <t>Comments</t>
  </si>
  <si>
    <t> </t>
  </si>
  <si>
    <t>A-1</t>
  </si>
  <si>
    <t>B-1</t>
  </si>
  <si>
    <t>A-2</t>
  </si>
  <si>
    <t>B-2</t>
  </si>
  <si>
    <t>A-3</t>
  </si>
  <si>
    <t>B-3</t>
  </si>
  <si>
    <t>A-4</t>
  </si>
  <si>
    <t>B-4</t>
  </si>
  <si>
    <t>Missing weights</t>
  </si>
  <si>
    <t>N°</t>
  </si>
  <si>
    <t>Flour Weight (g)</t>
  </si>
  <si>
    <t>Moisture content (%)</t>
  </si>
  <si>
    <t>Water Added (mL)</t>
  </si>
  <si>
    <t>Time (min)</t>
  </si>
  <si>
    <t>Temperature (°C)</t>
  </si>
  <si>
    <t>Consistency (BU)</t>
  </si>
  <si>
    <t>Water absorption set (%)</t>
  </si>
  <si>
    <t>Water absorption (%) (corrected for 500 FU)</t>
  </si>
  <si>
    <t>Water absorption (%) (corrected to 14%)</t>
  </si>
  <si>
    <t>Development time (min)</t>
  </si>
  <si>
    <t>Stability (min)</t>
  </si>
  <si>
    <t>Degree of softening (FU) (10min after begin)</t>
  </si>
  <si>
    <t>Degree of softening (FU) (12 min after max)</t>
  </si>
  <si>
    <t>Farinograph quality number</t>
  </si>
  <si>
    <t>Heating Rate (°C/min)</t>
  </si>
  <si>
    <t>Sample weight corr. to 14% (g/ml)</t>
  </si>
  <si>
    <t>Begin of gelatinization (°C)</t>
  </si>
  <si>
    <t>Gelatinization temperature (°C)</t>
  </si>
  <si>
    <t>Gelatinization maximum (AU)</t>
  </si>
  <si>
    <t>Results &amp; conclusion</t>
  </si>
  <si>
    <t>Farinograph</t>
  </si>
  <si>
    <t xml:space="preserve">Addition of BSG increased the waterabsorption. But with 20% the hydratation is no even (homogenous) because of the different particles of te BSG (shape, size), diff chemical composition (related to proportion of soluble components and non-soluble componentes such as fibre). Development time is longer with more BSG. It means the delation of formation of gluten network due to the fibre (less gas retention, less volume). Stability: it is negatively affected by the increase of BSG because BSG contains proteases. It might weaken the gluten network and gas retention (lower stability). Degree of softening: (it is defined as how fast the dough get weaker within mixing) BSG lowers it. Its dough will become weaker so quickly because the gluten network is not well developed. Falta alguna conclusion sobre farinograh number </t>
  </si>
  <si>
    <t>10%_BSG</t>
  </si>
  <si>
    <t>20%_BSG</t>
  </si>
  <si>
    <t>10%_BSG+70ppmE</t>
  </si>
  <si>
    <t>13/11/2025</t>
  </si>
  <si>
    <t>Not going</t>
  </si>
  <si>
    <t>25/11/2025</t>
  </si>
  <si>
    <t>20%_BSG+70ppmE</t>
  </si>
  <si>
    <t>Amilograph</t>
  </si>
  <si>
    <t>78.7/451.3</t>
  </si>
  <si>
    <t>The lower viscosity the lower the starch is to enzyme activity</t>
  </si>
  <si>
    <t>Flour+70ppmE</t>
  </si>
  <si>
    <t>78.9/451.1</t>
  </si>
  <si>
    <t>19/11/2025</t>
  </si>
  <si>
    <t>BSG negatively affect amilases complex because it increase</t>
  </si>
  <si>
    <t>20/11/2025</t>
  </si>
  <si>
    <t>The enzyme improved the degradation of the starch and normal formaiton of bread crumb. </t>
  </si>
  <si>
    <t>The enzyme improved the degradation of the starch and normal formaiton of bread crumb. BSG negatively affect amilases complex because it increase amilases activity but enzyme improved it</t>
  </si>
  <si>
    <t>Formulation</t>
  </si>
  <si>
    <t>Measurements</t>
  </si>
  <si>
    <t>Sample ID</t>
  </si>
  <si>
    <t>Flour (g)</t>
  </si>
  <si>
    <t>BSG Level (%)</t>
  </si>
  <si>
    <t>Yeast (g)</t>
  </si>
  <si>
    <t>Salt (g)</t>
  </si>
  <si>
    <t>Sugar (g)</t>
  </si>
  <si>
    <t>Water (ml)</t>
  </si>
  <si>
    <t>Weight dough (g)</t>
  </si>
  <si>
    <t>Weight bread (g)</t>
  </si>
  <si>
    <t>Volume (ml)</t>
  </si>
  <si>
    <t>Height/Width</t>
  </si>
  <si>
    <t>Ash (%)</t>
  </si>
  <si>
    <t>Check formula and results. It was checked and should be ok</t>
  </si>
  <si>
    <t xml:space="preserve">Missing weights </t>
  </si>
  <si>
    <t>Panelist</t>
  </si>
  <si>
    <t xml:space="preserve"> Sample </t>
  </si>
  <si>
    <t xml:space="preserve"> Bread overall appearance &amp; shape </t>
  </si>
  <si>
    <t xml:space="preserve"> Surface of crust </t>
  </si>
  <si>
    <t xml:space="preserve"> Proofing &amp; appearance of crumb </t>
  </si>
  <si>
    <t xml:space="preserve"> Structure &amp; elasticity of crumb</t>
  </si>
  <si>
    <t xml:space="preserve"> Smell &amp; Taste overall</t>
  </si>
  <si>
    <t xml:space="preserve"> Overall points </t>
  </si>
  <si>
    <t>Value</t>
  </si>
  <si>
    <t>Weighting factor</t>
  </si>
  <si>
    <t>Method of Measurement</t>
  </si>
  <si>
    <t xml:space="preserve">2D Porosity / Void Fraction (%) </t>
  </si>
  <si>
    <t>3D Corrected Estimated Vol. (%)</t>
  </si>
  <si>
    <t>Cell Count (valid pores)</t>
  </si>
  <si>
    <t>Cell Density (cells/cm²)</t>
  </si>
  <si>
    <t>Mean Cell Area (mm² per pore)</t>
  </si>
  <si>
    <t>Ruler</t>
  </si>
  <si>
    <t>Number</t>
  </si>
  <si>
    <t>Weight</t>
  </si>
  <si>
    <t>Ashes</t>
  </si>
  <si>
    <t>Jan</t>
  </si>
  <si>
    <t>Mar</t>
  </si>
  <si>
    <t>A</t>
  </si>
  <si>
    <t>B</t>
  </si>
  <si>
    <t>Missing Sample weight &amp; Consumption of acid</t>
  </si>
  <si>
    <t>Missing initial and final weight</t>
  </si>
  <si>
    <t>Batch</t>
  </si>
  <si>
    <t>Summary Statistics by Test</t>
  </si>
  <si>
    <t>Test Name</t>
  </si>
  <si>
    <t>Avg 2D Porosity (%)</t>
  </si>
  <si>
    <t>SD 2D Porosity (%)</t>
  </si>
  <si>
    <t>Avg 3D Vol. (%)</t>
  </si>
  <si>
    <t>SD 3D Vol. (%)</t>
  </si>
  <si>
    <t>Avg Cell Count</t>
  </si>
  <si>
    <t>SD Cell Count</t>
  </si>
  <si>
    <t>Avg Cell Density (cells/cm²)</t>
  </si>
  <si>
    <t>SD Cell Density</t>
  </si>
  <si>
    <t>Avg Mean Cell Area (mm²)</t>
  </si>
  <si>
    <t>SD Mean Cell Area</t>
  </si>
  <si>
    <t>BREAD CRUMB POROSITY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</si>
</sst>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
    <numFmt numFmtId="166" formatCode="0.0%"/>
    <numFmt numFmtId="167" formatCode="0.000"/>
    <numFmt numFmtId="168" formatCode="dd/mm/yyyy"/>
    <numFmt numFmtId="169" formatCode="0.000%"/>
  </numFmts>
  <fonts count="12"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
      <sz val="11"/>
      <color rgb="FF000000"/>
      <name val="Calibri"/>
    </font>
    <font>
      <sz val="11"/>
      <color theme="0"/>
      <name val="Aptos Narrow"/>
      <charset val="1"/>
    </font>
    <font>
      <sz val="11"/>
      <color rgb="FF242424"/>
      <name val="Aptos Narrow"/>
      <charset val="1"/>
    </font>
    <font>
      <sz val="11"/>
      <color rgb="FF000000"/>
      <name val="Calibri"/>
      <family val="2"/>
    </font>
    <font>
      <b/>
      <sz val="11"/>
      <color rgb="FF000000"/>
      <name val="Calibri"/>
      <family val="2"/>
      <scheme val="minor"/>
    </font>
    <font>
      <b/>
      <sz val="11"/>
      <color rgb="FFFFFFFF"/>
      <name val="Calibri"/>
      <family val="2"/>
      <scheme val="minor"/>
    </font>
    <font>
      <sz val="11"/>
      <color rgb="FF000000"/>
      <name val="Calibri"/>
      <family val="2"/>
      <scheme val="minor"/>
    </font>
  </fonts>
  <fills count="15">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F2F2F2"/>
        <bgColor rgb="FF000000"/>
      </patternFill>
    </fill>
    <fill>
      <patternFill patternType="solid">
        <fgColor theme="8"/>
        <bgColor indexed="64"/>
      </patternFill>
    </fill>
    <fill>
      <patternFill patternType="solid">
        <fgColor theme="6" tint="0.79998168889431442"/>
        <bgColor indexed="64"/>
      </patternFill>
    </fill>
    <fill>
      <patternFill patternType="solid">
        <fgColor theme="8"/>
        <bgColor theme="8"/>
      </patternFill>
    </fill>
    <fill>
      <patternFill patternType="solid">
        <fgColor theme="6" tint="-0.249977111117893"/>
        <bgColor indexed="64"/>
      </patternFill>
    </fill>
    <fill>
      <patternFill patternType="solid">
        <fgColor theme="5" tint="0.79998168889431442"/>
        <bgColor indexed="64"/>
      </patternFill>
    </fill>
    <fill>
      <patternFill patternType="solid">
        <fgColor rgb="FF4BACC6"/>
        <bgColor indexed="64"/>
      </patternFill>
    </fill>
    <fill>
      <patternFill patternType="solid">
        <fgColor rgb="FFFFFFFF"/>
        <bgColor indexed="64"/>
      </patternFill>
    </fill>
    <fill>
      <patternFill patternType="solid">
        <fgColor theme="6" tint="0.39997558519241921"/>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4BACC6"/>
      </top>
      <bottom/>
      <diagonal/>
    </border>
    <border>
      <left style="thin">
        <color theme="0"/>
      </left>
      <right/>
      <top/>
      <bottom style="thin">
        <color theme="0"/>
      </bottom>
      <diagonal/>
    </border>
    <border>
      <left style="medium">
        <color theme="3"/>
      </left>
      <right/>
      <top/>
      <bottom/>
      <diagonal/>
    </border>
    <border>
      <left/>
      <right style="medium">
        <color theme="3"/>
      </right>
      <top/>
      <bottom/>
      <diagonal/>
    </border>
    <border>
      <left style="medium">
        <color theme="3"/>
      </left>
      <right/>
      <top/>
      <bottom style="thin">
        <color theme="0"/>
      </bottom>
      <diagonal/>
    </border>
    <border>
      <left style="medium">
        <color theme="3"/>
      </left>
      <right style="medium">
        <color theme="3"/>
      </right>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top style="thin">
        <color rgb="FF000000"/>
      </top>
      <bottom/>
      <diagonal/>
    </border>
    <border>
      <left style="thin">
        <color rgb="FF000000"/>
      </left>
      <right/>
      <top style="medium">
        <color rgb="FF000000"/>
      </top>
      <bottom/>
      <diagonal/>
    </border>
    <border>
      <left/>
      <right style="thin">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indexed="64"/>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bottom/>
      <diagonal/>
    </border>
    <border>
      <left style="thin">
        <color indexed="64"/>
      </left>
      <right style="medium">
        <color rgb="FF000000"/>
      </right>
      <top/>
      <bottom/>
      <diagonal/>
    </border>
    <border>
      <left/>
      <right/>
      <top style="thin">
        <color theme="8"/>
      </top>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diagonal/>
    </border>
    <border>
      <left style="thin">
        <color theme="8"/>
      </left>
      <right/>
      <top style="thin">
        <color theme="8"/>
      </top>
      <bottom/>
      <diagonal/>
    </border>
    <border>
      <left style="medium">
        <color theme="3"/>
      </left>
      <right style="medium">
        <color theme="3"/>
      </right>
      <top style="thin">
        <color theme="8"/>
      </top>
      <bottom/>
      <diagonal/>
    </border>
    <border>
      <left style="medium">
        <color indexed="64"/>
      </left>
      <right/>
      <top style="medium">
        <color indexed="64"/>
      </top>
      <bottom/>
      <diagonal/>
    </border>
    <border>
      <left/>
      <right style="medium">
        <color theme="3"/>
      </right>
      <top style="medium">
        <color indexed="64"/>
      </top>
      <bottom/>
      <diagonal/>
    </border>
    <border>
      <left style="medium">
        <color theme="3"/>
      </left>
      <right style="medium">
        <color theme="3"/>
      </right>
      <top style="medium">
        <color indexed="64"/>
      </top>
      <bottom style="thin">
        <color theme="3"/>
      </bottom>
      <diagonal/>
    </border>
    <border>
      <left/>
      <right/>
      <top style="medium">
        <color indexed="64"/>
      </top>
      <bottom style="thin">
        <color theme="3"/>
      </bottom>
      <diagonal/>
    </border>
    <border>
      <left style="medium">
        <color theme="3"/>
      </left>
      <right/>
      <top style="medium">
        <color indexed="64"/>
      </top>
      <bottom style="thin">
        <color theme="0"/>
      </bottom>
      <diagonal/>
    </border>
    <border>
      <left/>
      <right/>
      <top style="medium">
        <color indexed="64"/>
      </top>
      <bottom style="thin">
        <color theme="0"/>
      </bottom>
      <diagonal/>
    </border>
    <border>
      <left/>
      <right style="medium">
        <color indexed="64"/>
      </right>
      <top style="medium">
        <color indexed="64"/>
      </top>
      <bottom style="thin">
        <color theme="0"/>
      </bottom>
      <diagonal/>
    </border>
    <border>
      <left/>
      <right style="medium">
        <color indexed="64"/>
      </right>
      <top/>
      <bottom style="thin">
        <color theme="0"/>
      </bottom>
      <diagonal/>
    </border>
    <border>
      <left style="medium">
        <color indexed="64"/>
      </left>
      <right style="medium">
        <color theme="3"/>
      </right>
      <top style="thin">
        <color theme="8"/>
      </top>
      <bottom/>
      <diagonal/>
    </border>
    <border>
      <left/>
      <right style="medium">
        <color indexed="64"/>
      </right>
      <top/>
      <bottom/>
      <diagonal/>
    </border>
    <border>
      <left style="medium">
        <color indexed="64"/>
      </left>
      <right style="medium">
        <color theme="3"/>
      </right>
      <top style="thin">
        <color theme="8"/>
      </top>
      <bottom style="medium">
        <color indexed="64"/>
      </bottom>
      <diagonal/>
    </border>
    <border>
      <left style="medium">
        <color theme="3"/>
      </left>
      <right style="medium">
        <color theme="3"/>
      </right>
      <top style="thin">
        <color theme="8"/>
      </top>
      <bottom style="medium">
        <color indexed="64"/>
      </bottom>
      <diagonal/>
    </border>
    <border>
      <left style="medium">
        <color theme="3"/>
      </left>
      <right style="medium">
        <color theme="3"/>
      </right>
      <top/>
      <bottom style="medium">
        <color indexed="64"/>
      </bottom>
      <diagonal/>
    </border>
    <border>
      <left/>
      <right/>
      <top/>
      <bottom style="medium">
        <color indexed="64"/>
      </bottom>
      <diagonal/>
    </border>
    <border>
      <left style="medium">
        <color theme="3"/>
      </left>
      <right/>
      <top/>
      <bottom style="medium">
        <color indexed="64"/>
      </bottom>
      <diagonal/>
    </border>
    <border>
      <left/>
      <right style="medium">
        <color indexed="64"/>
      </right>
      <top/>
      <bottom style="medium">
        <color indexed="64"/>
      </bottom>
      <diagonal/>
    </border>
    <border>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medium">
        <color theme="3"/>
      </right>
      <top/>
      <bottom/>
      <diagonal/>
    </border>
    <border>
      <left/>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4BACC6"/>
      </left>
      <right/>
      <top style="thin">
        <color rgb="FF4BACC6"/>
      </top>
      <bottom/>
      <diagonal/>
    </border>
    <border>
      <left style="thin">
        <color rgb="FF4BACC6"/>
      </left>
      <right/>
      <top style="thin">
        <color rgb="FF4BACC6"/>
      </top>
      <bottom style="thin">
        <color rgb="FF4BACC6"/>
      </bottom>
      <diagonal/>
    </border>
    <border>
      <left/>
      <right/>
      <top style="thin">
        <color rgb="FF4BACC6"/>
      </top>
      <bottom style="thin">
        <color rgb="FF4BACC6"/>
      </bottom>
      <diagonal/>
    </border>
  </borders>
  <cellStyleXfs count="2">
    <xf numFmtId="0" fontId="0" fillId="0" borderId="0"/>
    <xf numFmtId="9" fontId="1" fillId="0" borderId="0" applyFont="0" applyFill="0" applyBorder="0" applyAlignment="0" applyProtection="0"/>
  </cellStyleXfs>
  <cellXfs count="25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Protection="1">
      <protection locked="0"/>
    </xf>
    <xf numFmtId="164" fontId="0" fillId="0" borderId="0" xfId="0" applyNumberFormat="1" applyProtection="1">
      <protection locked="0"/>
    </xf>
    <xf numFmtId="164" fontId="0" fillId="3" borderId="0" xfId="0" applyNumberFormat="1" applyFill="1" applyProtection="1">
      <protection locked="0"/>
    </xf>
    <xf numFmtId="14" fontId="0" fillId="0" borderId="0" xfId="0" applyNumberFormat="1" applyProtection="1">
      <protection locked="0"/>
    </xf>
    <xf numFmtId="165" fontId="0" fillId="0" borderId="0" xfId="0" applyNumberFormat="1" applyProtection="1">
      <protection locked="0"/>
    </xf>
    <xf numFmtId="164" fontId="0" fillId="3" borderId="0" xfId="0" applyNumberFormat="1" applyFill="1"/>
    <xf numFmtId="165" fontId="0" fillId="3" borderId="0" xfId="0" applyNumberFormat="1" applyFill="1"/>
    <xf numFmtId="0" fontId="0" fillId="0" borderId="0" xfId="0" applyAlignment="1" applyProtection="1">
      <alignment horizontal="left" vertical="center" wrapText="1"/>
      <protection locked="0"/>
    </xf>
    <xf numFmtId="166" fontId="0" fillId="0" borderId="0" xfId="1" applyNumberFormat="1" applyFont="1" applyProtection="1">
      <protection locked="0"/>
    </xf>
    <xf numFmtId="10" fontId="0" fillId="0" borderId="1" xfId="0" applyNumberFormat="1" applyBorder="1" applyProtection="1">
      <protection locked="0"/>
    </xf>
    <xf numFmtId="10" fontId="0" fillId="0" borderId="8" xfId="0" applyNumberFormat="1" applyBorder="1" applyProtection="1">
      <protection locked="0"/>
    </xf>
    <xf numFmtId="0" fontId="4" fillId="0" borderId="0" xfId="0" applyFont="1" applyAlignment="1">
      <alignment horizontal="center" vertical="center" wrapText="1"/>
    </xf>
    <xf numFmtId="0" fontId="0" fillId="0" borderId="0" xfId="0" applyAlignment="1">
      <alignment horizontal="center" vertical="center" wrapText="1"/>
    </xf>
    <xf numFmtId="0" fontId="5" fillId="6" borderId="10" xfId="0" applyFont="1" applyFill="1" applyBorder="1"/>
    <xf numFmtId="0" fontId="0" fillId="0" borderId="0" xfId="0" applyAlignment="1">
      <alignment horizontal="center"/>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center"/>
    </xf>
    <xf numFmtId="0" fontId="0" fillId="0" borderId="12" xfId="0" applyBorder="1" applyAlignment="1">
      <alignment horizontal="center"/>
    </xf>
    <xf numFmtId="0" fontId="4" fillId="0" borderId="0" xfId="0" applyFont="1" applyAlignment="1">
      <alignment horizontal="center"/>
    </xf>
    <xf numFmtId="164" fontId="0" fillId="3" borderId="0" xfId="0" applyNumberFormat="1" applyFill="1" applyAlignment="1">
      <alignment horizontal="center"/>
    </xf>
    <xf numFmtId="14" fontId="0" fillId="0" borderId="0" xfId="0" applyNumberFormat="1" applyAlignment="1">
      <alignment horizontal="center"/>
    </xf>
    <xf numFmtId="164" fontId="0" fillId="2" borderId="0" xfId="0" applyNumberFormat="1" applyFill="1" applyAlignment="1" applyProtection="1">
      <alignment horizontal="center"/>
      <protection locked="0"/>
    </xf>
    <xf numFmtId="0" fontId="0" fillId="5" borderId="0" xfId="0" applyFill="1" applyAlignment="1">
      <alignment horizontal="center"/>
    </xf>
    <xf numFmtId="0" fontId="5" fillId="6" borderId="0" xfId="0" applyFont="1" applyFill="1"/>
    <xf numFmtId="10" fontId="0" fillId="2" borderId="0" xfId="1" applyNumberFormat="1" applyFont="1" applyFill="1" applyProtection="1">
      <protection locked="0"/>
    </xf>
    <xf numFmtId="0" fontId="7" fillId="0" borderId="0" xfId="0" applyFont="1"/>
    <xf numFmtId="0" fontId="0" fillId="8" borderId="0" xfId="0" applyFill="1" applyAlignment="1">
      <alignment horizontal="center"/>
    </xf>
    <xf numFmtId="10" fontId="0" fillId="0" borderId="0" xfId="1" applyNumberFormat="1" applyFont="1" applyFill="1" applyProtection="1">
      <protection locked="0"/>
    </xf>
    <xf numFmtId="10" fontId="5" fillId="0" borderId="0" xfId="0" applyNumberFormat="1" applyFont="1"/>
    <xf numFmtId="4" fontId="5" fillId="0" borderId="0" xfId="0" applyNumberFormat="1" applyFont="1"/>
    <xf numFmtId="165" fontId="0" fillId="3" borderId="0" xfId="0" applyNumberFormat="1" applyFill="1" applyProtection="1">
      <protection locked="0"/>
    </xf>
    <xf numFmtId="9" fontId="0" fillId="0" borderId="0" xfId="0" applyNumberFormat="1" applyProtection="1">
      <protection locked="0"/>
    </xf>
    <xf numFmtId="10" fontId="0" fillId="3" borderId="0" xfId="0" applyNumberFormat="1" applyFill="1"/>
    <xf numFmtId="164" fontId="5" fillId="6" borderId="0" xfId="0" applyNumberFormat="1" applyFont="1" applyFill="1" applyProtection="1">
      <protection locked="0"/>
    </xf>
    <xf numFmtId="165" fontId="5" fillId="3" borderId="0" xfId="0" applyNumberFormat="1" applyFont="1" applyFill="1"/>
    <xf numFmtId="164" fontId="0" fillId="0" borderId="0" xfId="0" applyNumberFormat="1"/>
    <xf numFmtId="0" fontId="0" fillId="0" borderId="26" xfId="0" applyBorder="1"/>
    <xf numFmtId="0" fontId="0" fillId="0" borderId="28" xfId="0" applyBorder="1" applyAlignment="1">
      <alignment wrapText="1"/>
    </xf>
    <xf numFmtId="0" fontId="0" fillId="0" borderId="28" xfId="0" applyBorder="1" applyAlignment="1">
      <alignment vertical="center" wrapText="1"/>
    </xf>
    <xf numFmtId="0" fontId="0" fillId="0" borderId="31" xfId="0" applyBorder="1" applyAlignment="1">
      <alignment wrapText="1"/>
    </xf>
    <xf numFmtId="0" fontId="0" fillId="0" borderId="29" xfId="0" applyBorder="1" applyAlignment="1">
      <alignment vertical="center" wrapText="1"/>
    </xf>
    <xf numFmtId="0" fontId="4" fillId="0" borderId="17" xfId="0" applyFont="1" applyBorder="1" applyAlignment="1">
      <alignment horizontal="center" vertical="center" wrapText="1"/>
    </xf>
    <xf numFmtId="0" fontId="4" fillId="0" borderId="22" xfId="0" applyFont="1" applyBorder="1" applyAlignment="1">
      <alignment vertical="center" wrapText="1"/>
    </xf>
    <xf numFmtId="0" fontId="4" fillId="0" borderId="32" xfId="0" applyFont="1" applyBorder="1" applyAlignment="1">
      <alignment wrapText="1"/>
    </xf>
    <xf numFmtId="0" fontId="0" fillId="0" borderId="33" xfId="0" applyBorder="1" applyAlignment="1">
      <alignment vertical="center" wrapText="1"/>
    </xf>
    <xf numFmtId="0" fontId="0" fillId="0" borderId="34" xfId="0" applyBorder="1" applyAlignment="1">
      <alignment wrapText="1"/>
    </xf>
    <xf numFmtId="0" fontId="0" fillId="0" borderId="33" xfId="0" applyBorder="1" applyAlignment="1">
      <alignment wrapText="1"/>
    </xf>
    <xf numFmtId="0" fontId="0" fillId="0" borderId="35" xfId="0" applyBorder="1" applyAlignment="1">
      <alignment vertical="center" wrapText="1"/>
    </xf>
    <xf numFmtId="0" fontId="4" fillId="0" borderId="36" xfId="0" applyFont="1" applyBorder="1" applyAlignment="1">
      <alignment wrapText="1"/>
    </xf>
    <xf numFmtId="0" fontId="0" fillId="0" borderId="37" xfId="0" applyBorder="1" applyProtection="1">
      <protection locked="0"/>
    </xf>
    <xf numFmtId="0" fontId="0" fillId="0" borderId="38" xfId="0" applyBorder="1"/>
    <xf numFmtId="10" fontId="0" fillId="0" borderId="38" xfId="0" applyNumberFormat="1" applyBorder="1" applyProtection="1">
      <protection locked="0"/>
    </xf>
    <xf numFmtId="0" fontId="0" fillId="0" borderId="40" xfId="0" applyBorder="1" applyProtection="1">
      <protection locked="0"/>
    </xf>
    <xf numFmtId="0" fontId="0" fillId="0" borderId="42" xfId="0" applyBorder="1" applyProtection="1">
      <protection locked="0"/>
    </xf>
    <xf numFmtId="0" fontId="0" fillId="0" borderId="43" xfId="0" applyBorder="1"/>
    <xf numFmtId="10" fontId="0" fillId="0" borderId="43" xfId="0" applyNumberFormat="1" applyBorder="1" applyProtection="1">
      <protection locked="0"/>
    </xf>
    <xf numFmtId="0" fontId="0" fillId="0" borderId="45" xfId="0" applyBorder="1" applyProtection="1">
      <protection locked="0"/>
    </xf>
    <xf numFmtId="0" fontId="0" fillId="0" borderId="46" xfId="0" applyBorder="1" applyProtection="1">
      <protection locked="0"/>
    </xf>
    <xf numFmtId="11" fontId="0" fillId="0" borderId="39" xfId="0" applyNumberFormat="1" applyBorder="1" applyProtection="1">
      <protection locked="0"/>
    </xf>
    <xf numFmtId="11" fontId="0" fillId="0" borderId="41" xfId="0" applyNumberFormat="1" applyBorder="1" applyProtection="1">
      <protection locked="0"/>
    </xf>
    <xf numFmtId="11" fontId="0" fillId="0" borderId="44" xfId="0" applyNumberFormat="1" applyBorder="1" applyProtection="1">
      <protection locked="0"/>
    </xf>
    <xf numFmtId="0" fontId="0" fillId="0" borderId="51" xfId="0" applyBorder="1" applyProtection="1">
      <protection locked="0"/>
    </xf>
    <xf numFmtId="0" fontId="0" fillId="0" borderId="52" xfId="0" applyBorder="1" applyProtection="1">
      <protection locked="0"/>
    </xf>
    <xf numFmtId="0" fontId="7" fillId="0" borderId="20" xfId="0" applyFont="1" applyBorder="1"/>
    <xf numFmtId="0" fontId="7" fillId="0" borderId="28" xfId="0" applyFont="1" applyBorder="1"/>
    <xf numFmtId="0" fontId="2" fillId="9" borderId="8" xfId="0" applyFont="1" applyFill="1" applyBorder="1"/>
    <xf numFmtId="0" fontId="4" fillId="10" borderId="0" xfId="0" applyFont="1" applyFill="1" applyAlignment="1">
      <alignment horizontal="center" vertical="center" wrapText="1"/>
    </xf>
    <xf numFmtId="0" fontId="0" fillId="0" borderId="30" xfId="0" applyBorder="1" applyAlignment="1">
      <alignment horizontal="center" vertical="center" wrapText="1"/>
    </xf>
    <xf numFmtId="0" fontId="0" fillId="11" borderId="0" xfId="0" applyFill="1" applyProtection="1">
      <protection locked="0"/>
    </xf>
    <xf numFmtId="10" fontId="0" fillId="0" borderId="0" xfId="0" applyNumberFormat="1" applyProtection="1">
      <protection locked="0"/>
    </xf>
    <xf numFmtId="11" fontId="0" fillId="0" borderId="0" xfId="0" applyNumberFormat="1" applyProtection="1">
      <protection locked="0"/>
    </xf>
    <xf numFmtId="0" fontId="0" fillId="0" borderId="7" xfId="0" applyBorder="1" applyProtection="1">
      <protection locked="0"/>
    </xf>
    <xf numFmtId="11" fontId="0" fillId="0" borderId="9" xfId="0" applyNumberFormat="1" applyBorder="1" applyProtection="1">
      <protection locked="0"/>
    </xf>
    <xf numFmtId="10" fontId="0" fillId="0" borderId="8" xfId="0" applyNumberFormat="1" applyBorder="1" applyAlignment="1" applyProtection="1">
      <alignment wrapText="1"/>
      <protection locked="0"/>
    </xf>
    <xf numFmtId="11" fontId="0" fillId="0" borderId="47" xfId="0" applyNumberFormat="1" applyBorder="1" applyProtection="1">
      <protection locked="0"/>
    </xf>
    <xf numFmtId="10" fontId="0" fillId="0" borderId="0" xfId="0" applyNumberFormat="1"/>
    <xf numFmtId="0" fontId="0" fillId="0" borderId="0" xfId="0" applyAlignment="1">
      <alignment wrapText="1"/>
    </xf>
    <xf numFmtId="14" fontId="0" fillId="0" borderId="0" xfId="0" applyNumberFormat="1"/>
    <xf numFmtId="0" fontId="2" fillId="9" borderId="46" xfId="0" applyFont="1" applyFill="1" applyBorder="1"/>
    <xf numFmtId="0" fontId="2" fillId="9" borderId="47" xfId="0" applyFont="1" applyFill="1" applyBorder="1"/>
    <xf numFmtId="2" fontId="0" fillId="0" borderId="58" xfId="0" applyNumberFormat="1" applyBorder="1"/>
    <xf numFmtId="11" fontId="0" fillId="0" borderId="59" xfId="0" applyNumberFormat="1" applyBorder="1"/>
    <xf numFmtId="14" fontId="0" fillId="0" borderId="12" xfId="0" applyNumberFormat="1" applyBorder="1" applyAlignment="1">
      <alignment horizontal="center"/>
    </xf>
    <xf numFmtId="0" fontId="0" fillId="0" borderId="20" xfId="0" applyBorder="1"/>
    <xf numFmtId="0" fontId="4" fillId="0" borderId="16" xfId="0" applyFont="1" applyBorder="1" applyAlignment="1">
      <alignment wrapText="1"/>
    </xf>
    <xf numFmtId="0" fontId="4" fillId="0" borderId="23" xfId="0" applyFont="1" applyBorder="1" applyAlignment="1">
      <alignment wrapText="1"/>
    </xf>
    <xf numFmtId="0" fontId="0" fillId="0" borderId="25" xfId="0" applyBorder="1"/>
    <xf numFmtId="0" fontId="4" fillId="0" borderId="57" xfId="0" applyFont="1" applyBorder="1" applyAlignment="1">
      <alignment wrapText="1"/>
    </xf>
    <xf numFmtId="0" fontId="0" fillId="0" borderId="20" xfId="0" applyBorder="1" applyAlignment="1">
      <alignment horizontal="center"/>
    </xf>
    <xf numFmtId="0" fontId="0" fillId="0" borderId="28" xfId="0" applyBorder="1" applyAlignment="1">
      <alignment horizontal="center"/>
    </xf>
    <xf numFmtId="0" fontId="0" fillId="0" borderId="26" xfId="0" applyBorder="1" applyAlignment="1">
      <alignment horizontal="center"/>
    </xf>
    <xf numFmtId="0" fontId="0" fillId="0" borderId="25" xfId="0" applyBorder="1" applyAlignment="1">
      <alignment horizontal="center"/>
    </xf>
    <xf numFmtId="0" fontId="0" fillId="0" borderId="34" xfId="0" applyBorder="1" applyAlignment="1">
      <alignment horizontal="center"/>
    </xf>
    <xf numFmtId="0" fontId="0" fillId="0" borderId="33" xfId="0" applyBorder="1" applyAlignment="1">
      <alignment horizontal="center"/>
    </xf>
    <xf numFmtId="0" fontId="0" fillId="0" borderId="58" xfId="0" applyBorder="1" applyAlignment="1">
      <alignment horizontal="center"/>
    </xf>
    <xf numFmtId="0" fontId="0" fillId="0" borderId="27" xfId="0" applyBorder="1" applyAlignment="1">
      <alignment horizontal="center"/>
    </xf>
    <xf numFmtId="0" fontId="0" fillId="0" borderId="18" xfId="0" applyBorder="1"/>
    <xf numFmtId="0" fontId="0" fillId="0" borderId="19" xfId="0" applyBorder="1" applyAlignment="1">
      <alignment horizontal="center"/>
    </xf>
    <xf numFmtId="2" fontId="0" fillId="0" borderId="19" xfId="0" applyNumberFormat="1" applyBorder="1"/>
    <xf numFmtId="11" fontId="0" fillId="0" borderId="16" xfId="0" applyNumberFormat="1" applyBorder="1"/>
    <xf numFmtId="0" fontId="7" fillId="0" borderId="24" xfId="0" applyFont="1" applyBorder="1"/>
    <xf numFmtId="0" fontId="0" fillId="0" borderId="24" xfId="0" applyBorder="1"/>
    <xf numFmtId="2" fontId="0" fillId="0" borderId="64" xfId="0" applyNumberFormat="1" applyBorder="1"/>
    <xf numFmtId="11" fontId="0" fillId="0" borderId="65" xfId="0" applyNumberFormat="1" applyBorder="1"/>
    <xf numFmtId="0" fontId="2" fillId="9" borderId="7" xfId="0" applyFont="1" applyFill="1" applyBorder="1"/>
    <xf numFmtId="0" fontId="0" fillId="0" borderId="54" xfId="0" applyBorder="1"/>
    <xf numFmtId="0" fontId="0" fillId="0" borderId="55" xfId="0" applyBorder="1"/>
    <xf numFmtId="0" fontId="0" fillId="0" borderId="56" xfId="0" applyBorder="1"/>
    <xf numFmtId="0" fontId="7" fillId="0" borderId="21" xfId="0" applyFont="1" applyBorder="1"/>
    <xf numFmtId="2" fontId="0" fillId="0" borderId="63" xfId="0" applyNumberFormat="1" applyBorder="1"/>
    <xf numFmtId="11" fontId="0" fillId="0" borderId="66" xfId="0" applyNumberFormat="1" applyBorder="1"/>
    <xf numFmtId="0" fontId="2" fillId="9" borderId="67" xfId="0" applyFont="1" applyFill="1" applyBorder="1" applyAlignment="1" applyProtection="1">
      <alignment horizontal="left" vertical="center" wrapText="1"/>
      <protection locked="0"/>
    </xf>
    <xf numFmtId="0" fontId="0" fillId="0" borderId="67" xfId="0" applyBorder="1" applyProtection="1">
      <protection locked="0"/>
    </xf>
    <xf numFmtId="0" fontId="0" fillId="0" borderId="68" xfId="0" applyBorder="1" applyAlignment="1">
      <alignment horizontal="center"/>
    </xf>
    <xf numFmtId="14" fontId="0" fillId="0" borderId="0" xfId="0" applyNumberFormat="1" applyAlignment="1">
      <alignment horizontal="center" vertical="center" wrapText="1"/>
    </xf>
    <xf numFmtId="0" fontId="0" fillId="7" borderId="71" xfId="0" applyFill="1" applyBorder="1" applyAlignment="1">
      <alignment horizontal="center"/>
    </xf>
    <xf numFmtId="0" fontId="6" fillId="0" borderId="0" xfId="0" applyFont="1" applyAlignment="1">
      <alignment horizontal="center" vertical="center" wrapText="1"/>
    </xf>
    <xf numFmtId="0" fontId="0" fillId="0" borderId="76" xfId="0" applyBorder="1" applyAlignment="1">
      <alignment horizontal="center" vertical="center" wrapText="1"/>
    </xf>
    <xf numFmtId="0" fontId="0" fillId="0" borderId="77" xfId="0" applyBorder="1" applyAlignment="1">
      <alignment horizontal="center"/>
    </xf>
    <xf numFmtId="164" fontId="0" fillId="0" borderId="78" xfId="0" applyNumberFormat="1" applyBorder="1" applyAlignment="1">
      <alignment horizontal="center"/>
    </xf>
    <xf numFmtId="0" fontId="0" fillId="0" borderId="79" xfId="0" applyBorder="1" applyAlignment="1">
      <alignment horizontal="center"/>
    </xf>
    <xf numFmtId="0" fontId="0" fillId="0" borderId="80" xfId="0" applyBorder="1" applyAlignment="1">
      <alignment horizontal="center"/>
    </xf>
    <xf numFmtId="0" fontId="0" fillId="0" borderId="81" xfId="0" applyBorder="1" applyAlignment="1">
      <alignment horizontal="center"/>
    </xf>
    <xf numFmtId="0" fontId="0" fillId="0" borderId="82" xfId="0" applyBorder="1" applyAlignment="1">
      <alignment horizontal="center"/>
    </xf>
    <xf numFmtId="0" fontId="0" fillId="0" borderId="83" xfId="0" applyBorder="1" applyAlignment="1">
      <alignment horizontal="center"/>
    </xf>
    <xf numFmtId="164" fontId="0" fillId="0" borderId="84" xfId="0" applyNumberFormat="1" applyBorder="1" applyAlignment="1">
      <alignment horizontal="center"/>
    </xf>
    <xf numFmtId="0" fontId="0" fillId="0" borderId="78" xfId="0" applyBorder="1" applyAlignment="1">
      <alignment horizontal="center" vertical="center" wrapText="1"/>
    </xf>
    <xf numFmtId="0" fontId="0" fillId="0" borderId="78" xfId="0" applyBorder="1" applyAlignment="1">
      <alignment horizontal="center"/>
    </xf>
    <xf numFmtId="0" fontId="0" fillId="0" borderId="87" xfId="0" applyBorder="1" applyAlignment="1">
      <alignment horizontal="center"/>
    </xf>
    <xf numFmtId="164" fontId="0" fillId="0" borderId="0" xfId="0" applyNumberFormat="1" applyAlignment="1">
      <alignment horizontal="center"/>
    </xf>
    <xf numFmtId="164" fontId="0" fillId="0" borderId="82" xfId="0" applyNumberFormat="1" applyBorder="1" applyAlignment="1">
      <alignment horizontal="center"/>
    </xf>
    <xf numFmtId="14" fontId="0" fillId="0" borderId="83" xfId="0" applyNumberFormat="1" applyBorder="1" applyAlignment="1">
      <alignment horizontal="center"/>
    </xf>
    <xf numFmtId="0" fontId="0" fillId="0" borderId="84" xfId="0" applyBorder="1" applyAlignment="1">
      <alignment horizontal="center"/>
    </xf>
    <xf numFmtId="14" fontId="0" fillId="0" borderId="82" xfId="0" applyNumberFormat="1" applyBorder="1" applyAlignment="1">
      <alignment horizontal="center"/>
    </xf>
    <xf numFmtId="164" fontId="0" fillId="11" borderId="0" xfId="0" applyNumberFormat="1" applyFill="1" applyProtection="1">
      <protection locked="0"/>
    </xf>
    <xf numFmtId="10" fontId="0" fillId="0" borderId="0" xfId="1" applyNumberFormat="1" applyFont="1" applyProtection="1">
      <protection locked="0"/>
    </xf>
    <xf numFmtId="10" fontId="5" fillId="0" borderId="0" xfId="1" applyNumberFormat="1" applyFont="1" applyFill="1" applyProtection="1">
      <protection locked="0"/>
    </xf>
    <xf numFmtId="10" fontId="0" fillId="0" borderId="0" xfId="1" applyNumberFormat="1" applyFont="1" applyBorder="1" applyProtection="1">
      <protection locked="0"/>
    </xf>
    <xf numFmtId="10" fontId="5" fillId="0" borderId="0" xfId="1" applyNumberFormat="1" applyFont="1" applyFill="1" applyBorder="1" applyProtection="1">
      <protection locked="0"/>
    </xf>
    <xf numFmtId="10" fontId="0" fillId="2" borderId="0" xfId="1" applyNumberFormat="1" applyFont="1" applyFill="1" applyBorder="1" applyProtection="1">
      <protection locked="0"/>
    </xf>
    <xf numFmtId="1" fontId="0" fillId="11" borderId="0" xfId="0" applyNumberFormat="1" applyFill="1"/>
    <xf numFmtId="10" fontId="8" fillId="0" borderId="0" xfId="0" applyNumberFormat="1" applyFont="1"/>
    <xf numFmtId="10" fontId="8" fillId="0" borderId="0" xfId="1" applyNumberFormat="1" applyFont="1" applyFill="1" applyProtection="1">
      <protection locked="0"/>
    </xf>
    <xf numFmtId="10" fontId="5" fillId="0" borderId="0" xfId="0" applyNumberFormat="1" applyFont="1" applyAlignment="1">
      <alignment horizontal="right"/>
    </xf>
    <xf numFmtId="10" fontId="5" fillId="6" borderId="0" xfId="0" applyNumberFormat="1" applyFont="1" applyFill="1"/>
    <xf numFmtId="168" fontId="0" fillId="0" borderId="0" xfId="0" applyNumberFormat="1" applyProtection="1">
      <protection locked="0"/>
    </xf>
    <xf numFmtId="1" fontId="0" fillId="0" borderId="0" xfId="0" applyNumberFormat="1"/>
    <xf numFmtId="167" fontId="0" fillId="0" borderId="0" xfId="0" applyNumberFormat="1"/>
    <xf numFmtId="169" fontId="0" fillId="0" borderId="0" xfId="0" applyNumberFormat="1"/>
    <xf numFmtId="0" fontId="0" fillId="0" borderId="1" xfId="0" applyBorder="1" applyAlignment="1">
      <alignment horizontal="center"/>
    </xf>
    <xf numFmtId="10" fontId="0" fillId="0" borderId="1" xfId="0" applyNumberFormat="1" applyBorder="1"/>
    <xf numFmtId="1" fontId="0" fillId="0" borderId="1" xfId="0" applyNumberFormat="1" applyBorder="1"/>
    <xf numFmtId="167" fontId="0" fillId="0" borderId="1" xfId="0" applyNumberFormat="1" applyBorder="1"/>
    <xf numFmtId="0" fontId="0" fillId="0" borderId="93" xfId="0" applyBorder="1"/>
    <xf numFmtId="11" fontId="0" fillId="0" borderId="94" xfId="0" applyNumberFormat="1" applyBorder="1"/>
    <xf numFmtId="169" fontId="0" fillId="0" borderId="94" xfId="0" applyNumberFormat="1" applyBorder="1"/>
    <xf numFmtId="0" fontId="0" fillId="0" borderId="94" xfId="0" applyBorder="1"/>
    <xf numFmtId="0" fontId="0" fillId="0" borderId="95" xfId="0" applyBorder="1"/>
    <xf numFmtId="0" fontId="0" fillId="0" borderId="96" xfId="0" applyBorder="1" applyAlignment="1">
      <alignment horizontal="center"/>
    </xf>
    <xf numFmtId="0" fontId="0" fillId="0" borderId="96" xfId="0" applyBorder="1"/>
    <xf numFmtId="167" fontId="0" fillId="0" borderId="96" xfId="0" applyNumberFormat="1" applyBorder="1"/>
    <xf numFmtId="169" fontId="0" fillId="0" borderId="97" xfId="0" applyNumberFormat="1" applyBorder="1"/>
    <xf numFmtId="0" fontId="2" fillId="9" borderId="98" xfId="0" applyFont="1" applyFill="1" applyBorder="1"/>
    <xf numFmtId="0" fontId="2" fillId="9" borderId="99" xfId="0" applyFont="1" applyFill="1" applyBorder="1"/>
    <xf numFmtId="0" fontId="0" fillId="0" borderId="100" xfId="0" applyBorder="1"/>
    <xf numFmtId="0" fontId="0" fillId="0" borderId="5" xfId="0" applyBorder="1" applyAlignment="1">
      <alignment horizontal="center"/>
    </xf>
    <xf numFmtId="0" fontId="0" fillId="0" borderId="90" xfId="0" applyBorder="1"/>
    <xf numFmtId="0" fontId="0" fillId="0" borderId="91" xfId="0" applyBorder="1" applyAlignment="1">
      <alignment horizontal="center"/>
    </xf>
    <xf numFmtId="0" fontId="0" fillId="0" borderId="91" xfId="0" applyBorder="1"/>
    <xf numFmtId="10" fontId="0" fillId="0" borderId="91" xfId="0" applyNumberFormat="1" applyBorder="1"/>
    <xf numFmtId="11" fontId="0" fillId="0" borderId="92" xfId="0" applyNumberFormat="1" applyBorder="1"/>
    <xf numFmtId="10" fontId="0" fillId="0" borderId="96" xfId="0" applyNumberFormat="1" applyBorder="1"/>
    <xf numFmtId="11" fontId="0" fillId="0" borderId="97" xfId="0" applyNumberFormat="1" applyBorder="1"/>
    <xf numFmtId="169" fontId="0" fillId="0" borderId="101" xfId="0" applyNumberFormat="1" applyBorder="1"/>
    <xf numFmtId="167" fontId="0" fillId="0" borderId="5" xfId="0" applyNumberFormat="1" applyBorder="1"/>
    <xf numFmtId="1" fontId="0" fillId="0" borderId="91" xfId="0" applyNumberFormat="1" applyBorder="1"/>
    <xf numFmtId="169" fontId="0" fillId="0" borderId="92" xfId="0" applyNumberFormat="1" applyBorder="1"/>
    <xf numFmtId="1" fontId="0" fillId="0" borderId="96" xfId="0" applyNumberFormat="1" applyBorder="1"/>
    <xf numFmtId="0" fontId="4" fillId="0" borderId="0" xfId="0" applyFont="1" applyAlignment="1">
      <alignment wrapText="1"/>
    </xf>
    <xf numFmtId="14" fontId="4" fillId="0" borderId="0" xfId="0" applyNumberFormat="1" applyFont="1" applyAlignment="1">
      <alignment wrapText="1"/>
    </xf>
    <xf numFmtId="0" fontId="9" fillId="0" borderId="0" xfId="0" applyFont="1" applyAlignment="1">
      <alignment wrapText="1"/>
    </xf>
    <xf numFmtId="0" fontId="0" fillId="0" borderId="53" xfId="0" applyBorder="1"/>
    <xf numFmtId="0" fontId="10" fillId="12" borderId="102" xfId="0" applyFont="1" applyFill="1" applyBorder="1" applyAlignment="1">
      <alignment horizontal="left"/>
    </xf>
    <xf numFmtId="0" fontId="10" fillId="12" borderId="10" xfId="0" applyFont="1" applyFill="1" applyBorder="1" applyAlignment="1">
      <alignment horizontal="left"/>
    </xf>
    <xf numFmtId="0" fontId="11" fillId="13" borderId="102" xfId="0" applyFont="1" applyFill="1" applyBorder="1"/>
    <xf numFmtId="167" fontId="11" fillId="13" borderId="10" xfId="0" applyNumberFormat="1" applyFont="1" applyFill="1" applyBorder="1"/>
    <xf numFmtId="1" fontId="11" fillId="13" borderId="10" xfId="0" applyNumberFormat="1" applyFont="1" applyFill="1" applyBorder="1"/>
    <xf numFmtId="2" fontId="11" fillId="13" borderId="10" xfId="0" applyNumberFormat="1" applyFont="1" applyFill="1" applyBorder="1"/>
    <xf numFmtId="0" fontId="11" fillId="13" borderId="103" xfId="0" applyFont="1" applyFill="1" applyBorder="1"/>
    <xf numFmtId="167" fontId="11" fillId="13" borderId="104" xfId="0" applyNumberFormat="1" applyFont="1" applyFill="1" applyBorder="1"/>
    <xf numFmtId="1" fontId="11" fillId="13" borderId="104" xfId="0" applyNumberFormat="1" applyFont="1" applyFill="1" applyBorder="1"/>
    <xf numFmtId="2" fontId="11" fillId="13" borderId="104" xfId="0" applyNumberFormat="1" applyFont="1" applyFill="1" applyBorder="1"/>
    <xf numFmtId="2" fontId="0" fillId="0" borderId="0" xfId="0" applyNumberFormat="1"/>
    <xf numFmtId="0" fontId="0" fillId="14" borderId="55" xfId="0" applyFill="1" applyBorder="1"/>
    <xf numFmtId="0" fontId="0" fillId="14" borderId="20" xfId="0" applyFill="1" applyBorder="1" applyAlignment="1">
      <alignment horizontal="center"/>
    </xf>
    <xf numFmtId="2" fontId="0" fillId="14" borderId="58" xfId="0" applyNumberFormat="1" applyFill="1" applyBorder="1"/>
    <xf numFmtId="11" fontId="0" fillId="14" borderId="59" xfId="0" applyNumberFormat="1" applyFill="1" applyBorder="1"/>
    <xf numFmtId="0" fontId="2" fillId="7" borderId="72" xfId="0" applyFont="1" applyFill="1" applyBorder="1" applyAlignment="1">
      <alignment horizontal="center"/>
    </xf>
    <xf numFmtId="0" fontId="2" fillId="7" borderId="73" xfId="0" applyFont="1" applyFill="1" applyBorder="1" applyAlignment="1">
      <alignment horizontal="center"/>
    </xf>
    <xf numFmtId="0" fontId="2" fillId="7" borderId="74" xfId="0" applyFont="1" applyFill="1" applyBorder="1" applyAlignment="1">
      <alignment horizontal="center"/>
    </xf>
    <xf numFmtId="0" fontId="2" fillId="7" borderId="75" xfId="0" applyFont="1" applyFill="1" applyBorder="1" applyAlignment="1">
      <alignment horizontal="center"/>
    </xf>
    <xf numFmtId="0" fontId="0" fillId="7" borderId="85" xfId="0" applyFill="1" applyBorder="1" applyAlignment="1">
      <alignment horizontal="center"/>
    </xf>
    <xf numFmtId="0" fontId="0" fillId="7" borderId="86" xfId="0" applyFill="1" applyBorder="1" applyAlignment="1">
      <alignment horizontal="center"/>
    </xf>
    <xf numFmtId="0" fontId="2" fillId="9" borderId="69" xfId="0" applyFont="1" applyFill="1" applyBorder="1" applyAlignment="1">
      <alignment horizontal="center" vertical="center" wrapText="1"/>
    </xf>
    <xf numFmtId="0" fontId="2" fillId="9" borderId="88" xfId="0" applyFont="1" applyFill="1" applyBorder="1" applyAlignment="1">
      <alignment horizontal="center" vertical="center" wrapText="1"/>
    </xf>
    <xf numFmtId="0" fontId="2" fillId="9" borderId="70" xfId="0" applyFont="1" applyFill="1" applyBorder="1" applyAlignment="1">
      <alignment horizontal="center" vertical="center" wrapText="1"/>
    </xf>
    <xf numFmtId="0" fontId="2" fillId="9" borderId="89" xfId="0" applyFont="1" applyFill="1" applyBorder="1" applyAlignment="1">
      <alignment horizontal="center" vertical="center" wrapText="1"/>
    </xf>
    <xf numFmtId="0" fontId="2" fillId="9"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4" borderId="48" xfId="0" applyFont="1" applyFill="1" applyBorder="1" applyAlignment="1">
      <alignment horizontal="center"/>
    </xf>
    <xf numFmtId="0" fontId="2" fillId="4" borderId="49" xfId="0" applyFont="1" applyFill="1" applyBorder="1" applyAlignment="1">
      <alignment horizontal="center"/>
    </xf>
    <xf numFmtId="0" fontId="2" fillId="4" borderId="50" xfId="0" applyFont="1" applyFill="1" applyBorder="1" applyAlignment="1">
      <alignment horizontal="center"/>
    </xf>
    <xf numFmtId="0" fontId="2" fillId="4" borderId="90" xfId="0" applyFont="1" applyFill="1" applyBorder="1" applyAlignment="1">
      <alignment horizontal="center"/>
    </xf>
    <xf numFmtId="0" fontId="2" fillId="4" borderId="91" xfId="0" applyFont="1" applyFill="1" applyBorder="1" applyAlignment="1">
      <alignment horizontal="center"/>
    </xf>
    <xf numFmtId="0" fontId="2" fillId="4" borderId="92" xfId="0" applyFont="1" applyFill="1" applyBorder="1" applyAlignment="1">
      <alignment horizontal="center"/>
    </xf>
    <xf numFmtId="0" fontId="0" fillId="0" borderId="19" xfId="0" applyBorder="1" applyAlignment="1">
      <alignment horizontal="center" vertical="center" wrapText="1"/>
    </xf>
    <xf numFmtId="0" fontId="0" fillId="0" borderId="30" xfId="0" applyBorder="1" applyAlignment="1">
      <alignment horizontal="center" vertical="center" wrapText="1"/>
    </xf>
    <xf numFmtId="0" fontId="0" fillId="0" borderId="18" xfId="0" applyBorder="1" applyAlignment="1">
      <alignment horizontal="center" vertical="center"/>
    </xf>
    <xf numFmtId="0" fontId="0" fillId="0" borderId="24" xfId="0" applyBorder="1" applyAlignment="1">
      <alignment horizontal="center" vertical="center"/>
    </xf>
    <xf numFmtId="0" fontId="0" fillId="0" borderId="21" xfId="0" applyBorder="1" applyAlignment="1">
      <alignment horizontal="center" vertical="center"/>
    </xf>
    <xf numFmtId="0" fontId="0" fillId="0" borderId="35" xfId="0" applyBorder="1" applyAlignment="1">
      <alignment horizontal="center" vertical="center" wrapText="1"/>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8" fillId="6" borderId="10" xfId="0" applyFont="1" applyFill="1" applyBorder="1"/>
    <xf numFmtId="0" fontId="10" fillId="12" borderId="1" xfId="0" applyFont="1" applyFill="1" applyBorder="1" applyAlignment="1">
      <alignment horizontal="left"/>
    </xf>
    <xf numFmtId="167" fontId="11" fillId="13" borderId="1" xfId="0" applyNumberFormat="1" applyFont="1" applyFill="1" applyBorder="1"/>
    <xf numFmtId="1" fontId="11" fillId="13" borderId="1" xfId="0" applyNumberFormat="1" applyFont="1" applyFill="1" applyBorder="1"/>
    <xf numFmtId="2" fontId="11" fillId="13" borderId="1" xfId="0" applyNumberFormat="1" applyFont="1" applyFill="1" applyBorder="1"/>
    <xf numFmtId="0" fontId="10" fillId="12" borderId="93" xfId="0" applyFont="1" applyFill="1" applyBorder="1" applyAlignment="1">
      <alignment horizontal="left"/>
    </xf>
    <xf numFmtId="0" fontId="10" fillId="12" borderId="94" xfId="0" applyFont="1" applyFill="1" applyBorder="1" applyAlignment="1">
      <alignment horizontal="left"/>
    </xf>
    <xf numFmtId="0" fontId="11" fillId="13" borderId="93" xfId="0" applyFont="1" applyFill="1" applyBorder="1"/>
    <xf numFmtId="2" fontId="11" fillId="13" borderId="94" xfId="0" applyNumberFormat="1" applyFont="1" applyFill="1" applyBorder="1"/>
    <xf numFmtId="0" fontId="11" fillId="13" borderId="95" xfId="0" applyFont="1" applyFill="1" applyBorder="1"/>
    <xf numFmtId="167" fontId="11" fillId="13" borderId="96" xfId="0" applyNumberFormat="1" applyFont="1" applyFill="1" applyBorder="1"/>
    <xf numFmtId="1" fontId="11" fillId="13" borderId="96" xfId="0" applyNumberFormat="1" applyFont="1" applyFill="1" applyBorder="1"/>
    <xf numFmtId="2" fontId="11" fillId="13" borderId="96" xfId="0" applyNumberFormat="1" applyFont="1" applyFill="1" applyBorder="1"/>
    <xf numFmtId="2" fontId="11" fillId="13" borderId="97" xfId="0" applyNumberFormat="1" applyFont="1" applyFill="1" applyBorder="1"/>
  </cellXfs>
  <cellStyles count="2">
    <cellStyle name="Normal" xfId="0" builtinId="0"/>
    <cellStyle name="Percent" xfId="1" builtinId="5"/>
  </cellStyles>
  <dxfs count="10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70" formatCode="m/d/yyyy"/>
    </dxf>
    <dxf>
      <numFmt numFmtId="14" formatCode="0.00%"/>
    </dxf>
    <dxf>
      <numFmt numFmtId="14" formatCode="0.00%"/>
    </dxf>
    <dxf>
      <font>
        <b/>
        <i val="0"/>
        <strike val="0"/>
        <condense val="0"/>
        <extend val="0"/>
        <outline val="0"/>
        <shadow val="0"/>
        <u val="none"/>
        <vertAlign val="baseline"/>
        <sz val="11"/>
        <color theme="1"/>
        <name val="Calibri"/>
        <family val="2"/>
        <scheme val="minor"/>
      </font>
      <alignment wrapText="1"/>
    </dxf>
    <dxf>
      <numFmt numFmtId="164" formatCode="0.0000"/>
      <protection locked="0" hidden="0"/>
    </dxf>
    <dxf>
      <numFmt numFmtId="168" formatCode="dd/mm/yyyy"/>
      <protection locked="0" hidden="0"/>
    </dxf>
    <dxf>
      <numFmt numFmtId="165" formatCode="0.0"/>
      <fill>
        <patternFill patternType="solid">
          <fgColor indexed="64"/>
          <bgColor theme="0" tint="-4.9989318521683403E-2"/>
        </patternFill>
      </fill>
      <protection locked="0" hidden="0"/>
    </dxf>
    <dxf>
      <numFmt numFmtId="165" formatCode="0.0"/>
      <fill>
        <patternFill patternType="solid">
          <fgColor indexed="64"/>
          <bgColor theme="0" tint="-4.9989318521683403E-2"/>
        </patternFill>
      </fill>
    </dxf>
    <dxf>
      <numFmt numFmtId="164" formatCode="0.0000"/>
      <protection locked="0" hidden="0"/>
    </dxf>
    <dxf>
      <numFmt numFmtId="164" formatCode="0.0000"/>
      <protection locked="0" hidden="0"/>
    </dxf>
    <dxf>
      <numFmt numFmtId="14" formatCode="0.00%"/>
      <fill>
        <patternFill patternType="solid">
          <fgColor indexed="64"/>
          <bgColor theme="0" tint="-4.9989318521683403E-2"/>
        </patternFill>
      </fill>
    </dxf>
    <dxf>
      <protection locked="0" hidden="0"/>
    </dxf>
    <dxf>
      <protection locked="0" hidden="0"/>
    </dxf>
    <dxf>
      <numFmt numFmtId="0" formatCode="General"/>
      <protection locked="0" hidden="0"/>
    </dxf>
    <dxf>
      <protection locked="0" hidden="0"/>
    </dxf>
    <dxf>
      <numFmt numFmtId="0" formatCode="General"/>
      <protection locked="0" hidden="0"/>
    </dxf>
    <dxf>
      <protection locked="0" hidden="0"/>
    </dxf>
    <dxf>
      <protection locked="0" hidden="0"/>
    </dxf>
    <dxf>
      <protection locked="0" hidden="0"/>
    </dxf>
    <dxf>
      <numFmt numFmtId="0" formatCode="General"/>
      <protection locked="0" hidden="0"/>
    </dxf>
    <dxf>
      <border diagonalUp="0" diagonalDown="0">
        <left style="thin">
          <color theme="8"/>
        </left>
        <right/>
        <top style="thin">
          <color theme="8"/>
        </top>
        <bottom/>
        <vertical/>
        <horizontal/>
      </border>
      <protection locked="0" hidden="0"/>
    </dxf>
    <dxf>
      <protection locked="0" hidden="0"/>
    </dxf>
    <dxf>
      <protection locked="0" hidden="0"/>
    </dxf>
    <dxf>
      <alignment horizontal="left" vertical="center" textRotation="0" wrapText="1" indent="0" justifyLastLine="0" shrinkToFit="0" readingOrder="0"/>
      <protection locked="0" hidden="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theme="1"/>
        <name val="Calibri"/>
        <family val="2"/>
        <scheme val="minor"/>
      </font>
      <alignment horizontal="center"/>
    </dxf>
    <dxf>
      <numFmt numFmtId="164" formatCode="0.0000"/>
      <protection locked="0" hidden="0"/>
    </dxf>
    <dxf>
      <protection locked="0" hidden="0"/>
    </dxf>
    <dxf>
      <numFmt numFmtId="164" formatCode="0.0000"/>
      <protection locked="0" hidden="0"/>
    </dxf>
    <dxf>
      <numFmt numFmtId="164" formatCode="0.0000"/>
      <protection locked="0" hidden="0"/>
    </dxf>
    <dxf>
      <numFmt numFmtId="165" formatCode="0.0"/>
      <fill>
        <patternFill patternType="solid">
          <fgColor indexed="64"/>
          <bgColor theme="0" tint="-4.9989318521683403E-2"/>
        </patternFill>
      </fill>
    </dxf>
    <dxf>
      <numFmt numFmtId="164" formatCode="0.0000"/>
      <protection locked="0" hidden="0"/>
    </dxf>
    <dxf>
      <numFmt numFmtId="165" formatCode="0.0"/>
      <fill>
        <patternFill patternType="solid">
          <fgColor indexed="64"/>
          <bgColor theme="0" tint="-4.9989318521683403E-2"/>
        </patternFill>
      </fill>
    </dxf>
    <dxf>
      <numFmt numFmtId="164" formatCode="0.0000"/>
      <protection locked="0" hidden="0"/>
    </dxf>
    <dxf>
      <protection locked="0" hidden="0"/>
    </dxf>
    <dxf>
      <protection locked="0" hidden="0"/>
    </dxf>
    <dxf>
      <protection locked="0" hidden="0"/>
    </dxf>
    <dxf>
      <numFmt numFmtId="0" formatCode="General"/>
      <protection locked="0" hidden="0"/>
    </dxf>
    <dxf>
      <protection locked="0" hidden="0"/>
    </dxf>
    <dxf>
      <numFmt numFmtId="0" formatCode="General"/>
      <protection locked="0" hidden="0"/>
    </dxf>
    <dxf>
      <protection locked="0" hidden="0"/>
    </dxf>
    <dxf>
      <protection locked="0" hidden="0"/>
    </dxf>
    <dxf>
      <protection locked="0" hidden="0"/>
    </dxf>
    <dxf>
      <protection locked="0" hidden="0"/>
    </dxf>
    <dxf>
      <protection locked="0" hidden="0"/>
    </dxf>
    <dxf>
      <protection locked="0" hidden="0"/>
    </dxf>
    <dxf>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5" formatCode="0.00E+0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protection locked="0" hidden="0"/>
    </dxf>
    <dxf>
      <fill>
        <patternFill patternType="none">
          <fgColor indexed="64"/>
          <bgColor theme="0"/>
        </patternFill>
      </fill>
      <alignment horizontal="center"/>
    </dxf>
    <dxf>
      <numFmt numFmtId="170" formatCode="m/d/yyyy"/>
      <alignment horizontal="center"/>
      <border diagonalUp="0" diagonalDown="0">
        <left style="medium">
          <color theme="3"/>
        </left>
      </border>
    </dxf>
    <dxf>
      <numFmt numFmtId="164" formatCode="0.0000"/>
      <alignment horizontal="center"/>
    </dxf>
    <dxf>
      <alignment horizontal="center"/>
    </dxf>
    <dxf>
      <alignment horizontal="center"/>
    </dxf>
    <dxf>
      <alignment horizontal="center"/>
      <border diagonalUp="0" diagonalDown="0">
        <left style="medium">
          <color theme="3"/>
        </left>
      </border>
    </dxf>
    <dxf>
      <alignment horizontal="center"/>
    </dxf>
    <dxf>
      <alignment horizontal="center"/>
    </dxf>
    <dxf>
      <alignment horizontal="center"/>
    </dxf>
    <dxf>
      <alignment horizontal="center"/>
    </dxf>
    <dxf>
      <alignment horizontal="center"/>
    </dxf>
    <dxf>
      <alignment horizontal="center"/>
      <border diagonalUp="0" diagonalDown="0">
        <left style="medium">
          <color theme="3"/>
        </left>
      </border>
    </dxf>
    <dxf>
      <alignment horizontal="center"/>
      <border diagonalUp="0" diagonalDown="0">
        <left style="medium">
          <color theme="3"/>
        </left>
        <right style="medium">
          <color theme="3"/>
        </right>
      </border>
    </dxf>
    <dxf>
      <alignment horizontal="center"/>
    </dxf>
    <dxf>
      <alignment horizontal="center"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Coefficient of Variation (%) by Test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'[1]6_BreadCrumbPorosity_new_model'!$W$2</c:f>
              <c:strCache>
                <c:ptCount val="1"/>
                <c:pt idx="0">
                  <c:v>CV% 2D Porosity</c:v>
                </c:pt>
              </c:strCache>
            </c:strRef>
          </c:tx>
          <c:spPr>
            <a:solidFill>
              <a:schemeClr val="accent1"/>
            </a:solidFill>
            <a:ln>
              <a:noFill/>
            </a:ln>
            <a:effectLst/>
          </c:spPr>
          <c:invertIfNegative val="0"/>
          <c:cat>
            <c:strRef>
              <c:f>'[1]6_BreadCrumbPorosity_new_model'!$K$3:$K$11</c:f>
              <c:strCache>
                <c:ptCount val="9"/>
                <c:pt idx="0">
                  <c:v>Flour</c:v>
                </c:pt>
                <c:pt idx="1">
                  <c:v>10% BSG+70ppmE</c:v>
                </c:pt>
                <c:pt idx="2">
                  <c:v>20% BSG+70ppmE</c:v>
                </c:pt>
                <c:pt idx="3">
                  <c:v>10% BSG_fraction+70ppmE</c:v>
                </c:pt>
                <c:pt idx="4">
                  <c:v>20% BSG_fraction+70ppmE</c:v>
                </c:pt>
                <c:pt idx="5">
                  <c:v>10% BSG+140ppmE</c:v>
                </c:pt>
                <c:pt idx="6">
                  <c:v>20% BSG+140ppmE</c:v>
                </c:pt>
                <c:pt idx="7">
                  <c:v>10% BSG_fraction+140ppmE</c:v>
                </c:pt>
                <c:pt idx="8">
                  <c:v>20% BSG_fraction+140ppmE</c:v>
                </c:pt>
              </c:strCache>
            </c:strRef>
          </c:cat>
          <c:val>
            <c:numRef>
              <c:f>'[1]6_BreadCrumbPorosity_new_model'!$W$3:$W$11</c:f>
              <c:numCache>
                <c:formatCode>General</c:formatCode>
                <c:ptCount val="9"/>
                <c:pt idx="0">
                  <c:v>7.232401157183603E-2</c:v>
                </c:pt>
                <c:pt idx="1">
                  <c:v>1.7518681805250496</c:v>
                </c:pt>
                <c:pt idx="2">
                  <c:v>27.511273347306791</c:v>
                </c:pt>
                <c:pt idx="3">
                  <c:v>6.5714498010925864</c:v>
                </c:pt>
                <c:pt idx="4">
                  <c:v>3.5333512458473111</c:v>
                </c:pt>
                <c:pt idx="5">
                  <c:v>10.563623225152128</c:v>
                </c:pt>
                <c:pt idx="6">
                  <c:v>14.068736941422111</c:v>
                </c:pt>
                <c:pt idx="7">
                  <c:v>6.7847902736982562</c:v>
                </c:pt>
                <c:pt idx="8">
                  <c:v>12.480118166365644</c:v>
                </c:pt>
              </c:numCache>
            </c:numRef>
          </c:val>
          <c:extLst>
            <c:ext xmlns:c16="http://schemas.microsoft.com/office/drawing/2014/chart" uri="{C3380CC4-5D6E-409C-BE32-E72D297353CC}">
              <c16:uniqueId val="{00000000-F99E-4B9A-A2D1-9FD90A854E0F}"/>
            </c:ext>
          </c:extLst>
        </c:ser>
        <c:ser>
          <c:idx val="1"/>
          <c:order val="1"/>
          <c:tx>
            <c:strRef>
              <c:f>'[1]6_BreadCrumbPorosity_new_model'!$X$2</c:f>
              <c:strCache>
                <c:ptCount val="1"/>
                <c:pt idx="0">
                  <c:v>CV% 3D Vol.</c:v>
                </c:pt>
              </c:strCache>
            </c:strRef>
          </c:tx>
          <c:spPr>
            <a:solidFill>
              <a:schemeClr val="accent2"/>
            </a:solidFill>
            <a:ln>
              <a:noFill/>
            </a:ln>
            <a:effectLst/>
          </c:spPr>
          <c:invertIfNegative val="0"/>
          <c:cat>
            <c:strRef>
              <c:f>'[1]6_BreadCrumbPorosity_new_model'!$K$3:$K$11</c:f>
              <c:strCache>
                <c:ptCount val="9"/>
                <c:pt idx="0">
                  <c:v>Flour</c:v>
                </c:pt>
                <c:pt idx="1">
                  <c:v>10% BSG+70ppmE</c:v>
                </c:pt>
                <c:pt idx="2">
                  <c:v>20% BSG+70ppmE</c:v>
                </c:pt>
                <c:pt idx="3">
                  <c:v>10% BSG_fraction+70ppmE</c:v>
                </c:pt>
                <c:pt idx="4">
                  <c:v>20% BSG_fraction+70ppmE</c:v>
                </c:pt>
                <c:pt idx="5">
                  <c:v>10% BSG+140ppmE</c:v>
                </c:pt>
                <c:pt idx="6">
                  <c:v>20% BSG+140ppmE</c:v>
                </c:pt>
                <c:pt idx="7">
                  <c:v>10% BSG_fraction+140ppmE</c:v>
                </c:pt>
                <c:pt idx="8">
                  <c:v>20% BSG_fraction+140ppmE</c:v>
                </c:pt>
              </c:strCache>
            </c:strRef>
          </c:cat>
          <c:val>
            <c:numRef>
              <c:f>'[1]6_BreadCrumbPorosity_new_model'!$X$3:$X$11</c:f>
              <c:numCache>
                <c:formatCode>General</c:formatCode>
                <c:ptCount val="9"/>
                <c:pt idx="0">
                  <c:v>7.2476556434332276E-2</c:v>
                </c:pt>
                <c:pt idx="1">
                  <c:v>1.7562282208062985</c:v>
                </c:pt>
                <c:pt idx="2">
                  <c:v>27.524491073620368</c:v>
                </c:pt>
                <c:pt idx="3">
                  <c:v>6.5781779742657589</c:v>
                </c:pt>
                <c:pt idx="4">
                  <c:v>3.5256819752435886</c:v>
                </c:pt>
                <c:pt idx="5">
                  <c:v>10.578261043300282</c:v>
                </c:pt>
                <c:pt idx="6">
                  <c:v>14.061187405455094</c:v>
                </c:pt>
                <c:pt idx="7">
                  <c:v>6.7556175243229086</c:v>
                </c:pt>
                <c:pt idx="8">
                  <c:v>12.492669865338382</c:v>
                </c:pt>
              </c:numCache>
            </c:numRef>
          </c:val>
          <c:extLst>
            <c:ext xmlns:c16="http://schemas.microsoft.com/office/drawing/2014/chart" uri="{C3380CC4-5D6E-409C-BE32-E72D297353CC}">
              <c16:uniqueId val="{00000001-F99E-4B9A-A2D1-9FD90A854E0F}"/>
            </c:ext>
          </c:extLst>
        </c:ser>
        <c:ser>
          <c:idx val="2"/>
          <c:order val="2"/>
          <c:tx>
            <c:strRef>
              <c:f>'[1]6_BreadCrumbPorosity_new_model'!$Y$2</c:f>
              <c:strCache>
                <c:ptCount val="1"/>
                <c:pt idx="0">
                  <c:v>CV% Cell Count</c:v>
                </c:pt>
              </c:strCache>
            </c:strRef>
          </c:tx>
          <c:spPr>
            <a:solidFill>
              <a:schemeClr val="accent3"/>
            </a:solidFill>
            <a:ln>
              <a:noFill/>
            </a:ln>
            <a:effectLst/>
          </c:spPr>
          <c:invertIfNegative val="0"/>
          <c:cat>
            <c:strRef>
              <c:f>'[1]6_BreadCrumbPorosity_new_model'!$K$3:$K$11</c:f>
              <c:strCache>
                <c:ptCount val="9"/>
                <c:pt idx="0">
                  <c:v>Flour</c:v>
                </c:pt>
                <c:pt idx="1">
                  <c:v>10% BSG+70ppmE</c:v>
                </c:pt>
                <c:pt idx="2">
                  <c:v>20% BSG+70ppmE</c:v>
                </c:pt>
                <c:pt idx="3">
                  <c:v>10% BSG_fraction+70ppmE</c:v>
                </c:pt>
                <c:pt idx="4">
                  <c:v>20% BSG_fraction+70ppmE</c:v>
                </c:pt>
                <c:pt idx="5">
                  <c:v>10% BSG+140ppmE</c:v>
                </c:pt>
                <c:pt idx="6">
                  <c:v>20% BSG+140ppmE</c:v>
                </c:pt>
                <c:pt idx="7">
                  <c:v>10% BSG_fraction+140ppmE</c:v>
                </c:pt>
                <c:pt idx="8">
                  <c:v>20% BSG_fraction+140ppmE</c:v>
                </c:pt>
              </c:strCache>
            </c:strRef>
          </c:cat>
          <c:val>
            <c:numRef>
              <c:f>'[1]6_BreadCrumbPorosity_new_model'!$Y$3:$Y$11</c:f>
              <c:numCache>
                <c:formatCode>General</c:formatCode>
                <c:ptCount val="9"/>
                <c:pt idx="0">
                  <c:v>1.4686524553281315</c:v>
                </c:pt>
                <c:pt idx="1">
                  <c:v>1.5087550588579073</c:v>
                </c:pt>
                <c:pt idx="2">
                  <c:v>24.872445106277837</c:v>
                </c:pt>
                <c:pt idx="3">
                  <c:v>8.9566959766801109</c:v>
                </c:pt>
                <c:pt idx="4">
                  <c:v>3.6813886922309762</c:v>
                </c:pt>
                <c:pt idx="5">
                  <c:v>28.102877981579343</c:v>
                </c:pt>
                <c:pt idx="6">
                  <c:v>3.1442125095943672</c:v>
                </c:pt>
                <c:pt idx="7">
                  <c:v>5.1923590109712014</c:v>
                </c:pt>
                <c:pt idx="8">
                  <c:v>2.6819029731657533</c:v>
                </c:pt>
              </c:numCache>
            </c:numRef>
          </c:val>
          <c:extLst>
            <c:ext xmlns:c16="http://schemas.microsoft.com/office/drawing/2014/chart" uri="{C3380CC4-5D6E-409C-BE32-E72D297353CC}">
              <c16:uniqueId val="{00000002-F99E-4B9A-A2D1-9FD90A854E0F}"/>
            </c:ext>
          </c:extLst>
        </c:ser>
        <c:ser>
          <c:idx val="3"/>
          <c:order val="3"/>
          <c:tx>
            <c:strRef>
              <c:f>'[1]6_BreadCrumbPorosity_new_model'!$Z$2</c:f>
              <c:strCache>
                <c:ptCount val="1"/>
                <c:pt idx="0">
                  <c:v>CV% Cell Density</c:v>
                </c:pt>
              </c:strCache>
            </c:strRef>
          </c:tx>
          <c:spPr>
            <a:solidFill>
              <a:schemeClr val="accent4"/>
            </a:solidFill>
            <a:ln>
              <a:noFill/>
            </a:ln>
            <a:effectLst/>
          </c:spPr>
          <c:invertIfNegative val="0"/>
          <c:cat>
            <c:strRef>
              <c:f>'[1]6_BreadCrumbPorosity_new_model'!$K$3:$K$11</c:f>
              <c:strCache>
                <c:ptCount val="9"/>
                <c:pt idx="0">
                  <c:v>Flour</c:v>
                </c:pt>
                <c:pt idx="1">
                  <c:v>10% BSG+70ppmE</c:v>
                </c:pt>
                <c:pt idx="2">
                  <c:v>20% BSG+70ppmE</c:v>
                </c:pt>
                <c:pt idx="3">
                  <c:v>10% BSG_fraction+70ppmE</c:v>
                </c:pt>
                <c:pt idx="4">
                  <c:v>20% BSG_fraction+70ppmE</c:v>
                </c:pt>
                <c:pt idx="5">
                  <c:v>10% BSG+140ppmE</c:v>
                </c:pt>
                <c:pt idx="6">
                  <c:v>20% BSG+140ppmE</c:v>
                </c:pt>
                <c:pt idx="7">
                  <c:v>10% BSG_fraction+140ppmE</c:v>
                </c:pt>
                <c:pt idx="8">
                  <c:v>20% BSG_fraction+140ppmE</c:v>
                </c:pt>
              </c:strCache>
            </c:strRef>
          </c:cat>
          <c:val>
            <c:numRef>
              <c:f>'[1]6_BreadCrumbPorosity_new_model'!$Z$3:$Z$11</c:f>
              <c:numCache>
                <c:formatCode>General</c:formatCode>
                <c:ptCount val="9"/>
                <c:pt idx="0">
                  <c:v>0.64677268907084617</c:v>
                </c:pt>
                <c:pt idx="1">
                  <c:v>1.2168598786360834</c:v>
                </c:pt>
                <c:pt idx="2">
                  <c:v>25.389850327924286</c:v>
                </c:pt>
                <c:pt idx="3">
                  <c:v>5.8455220837984889</c:v>
                </c:pt>
                <c:pt idx="4">
                  <c:v>2.1602809914205197</c:v>
                </c:pt>
                <c:pt idx="5">
                  <c:v>2.7339104816277766</c:v>
                </c:pt>
                <c:pt idx="6">
                  <c:v>2.9972099804446533</c:v>
                </c:pt>
                <c:pt idx="7">
                  <c:v>1.1927278368367191</c:v>
                </c:pt>
                <c:pt idx="8">
                  <c:v>3.5585532305554466</c:v>
                </c:pt>
              </c:numCache>
            </c:numRef>
          </c:val>
          <c:extLst>
            <c:ext xmlns:c16="http://schemas.microsoft.com/office/drawing/2014/chart" uri="{C3380CC4-5D6E-409C-BE32-E72D297353CC}">
              <c16:uniqueId val="{00000003-F99E-4B9A-A2D1-9FD90A854E0F}"/>
            </c:ext>
          </c:extLst>
        </c:ser>
        <c:ser>
          <c:idx val="4"/>
          <c:order val="4"/>
          <c:tx>
            <c:strRef>
              <c:f>'[1]6_BreadCrumbPorosity_new_model'!$AA$2</c:f>
              <c:strCache>
                <c:ptCount val="1"/>
                <c:pt idx="0">
                  <c:v>CV% Mean Cell Area</c:v>
                </c:pt>
              </c:strCache>
            </c:strRef>
          </c:tx>
          <c:spPr>
            <a:solidFill>
              <a:schemeClr val="accent5"/>
            </a:solidFill>
            <a:ln>
              <a:noFill/>
            </a:ln>
            <a:effectLst/>
          </c:spPr>
          <c:invertIfNegative val="0"/>
          <c:cat>
            <c:strRef>
              <c:f>'[1]6_BreadCrumbPorosity_new_model'!$K$3:$K$11</c:f>
              <c:strCache>
                <c:ptCount val="9"/>
                <c:pt idx="0">
                  <c:v>Flour</c:v>
                </c:pt>
                <c:pt idx="1">
                  <c:v>10% BSG+70ppmE</c:v>
                </c:pt>
                <c:pt idx="2">
                  <c:v>20% BSG+70ppmE</c:v>
                </c:pt>
                <c:pt idx="3">
                  <c:v>10% BSG_fraction+70ppmE</c:v>
                </c:pt>
                <c:pt idx="4">
                  <c:v>20% BSG_fraction+70ppmE</c:v>
                </c:pt>
                <c:pt idx="5">
                  <c:v>10% BSG+140ppmE</c:v>
                </c:pt>
                <c:pt idx="6">
                  <c:v>20% BSG+140ppmE</c:v>
                </c:pt>
                <c:pt idx="7">
                  <c:v>10% BSG_fraction+140ppmE</c:v>
                </c:pt>
                <c:pt idx="8">
                  <c:v>20% BSG_fraction+140ppmE</c:v>
                </c:pt>
              </c:strCache>
            </c:strRef>
          </c:cat>
          <c:val>
            <c:numRef>
              <c:f>'[1]6_BreadCrumbPorosity_new_model'!$AA$3:$AA$11</c:f>
              <c:numCache>
                <c:formatCode>General</c:formatCode>
                <c:ptCount val="9"/>
                <c:pt idx="0">
                  <c:v>0.71657862467477029</c:v>
                </c:pt>
                <c:pt idx="1">
                  <c:v>1.7349689603934855</c:v>
                </c:pt>
                <c:pt idx="2">
                  <c:v>18.552498712404002</c:v>
                </c:pt>
                <c:pt idx="3">
                  <c:v>12.27932391576592</c:v>
                </c:pt>
                <c:pt idx="4">
                  <c:v>5.5748498347329436</c:v>
                </c:pt>
                <c:pt idx="5">
                  <c:v>11.665688588560979</c:v>
                </c:pt>
                <c:pt idx="6">
                  <c:v>16.52285302091623</c:v>
                </c:pt>
                <c:pt idx="7">
                  <c:v>7.1762874902528893</c:v>
                </c:pt>
                <c:pt idx="8">
                  <c:v>15.910522359922904</c:v>
                </c:pt>
              </c:numCache>
            </c:numRef>
          </c:val>
          <c:extLst>
            <c:ext xmlns:c16="http://schemas.microsoft.com/office/drawing/2014/chart" uri="{C3380CC4-5D6E-409C-BE32-E72D297353CC}">
              <c16:uniqueId val="{00000004-F99E-4B9A-A2D1-9FD90A854E0F}"/>
            </c:ext>
          </c:extLst>
        </c:ser>
        <c:dLbls>
          <c:showLegendKey val="0"/>
          <c:showVal val="0"/>
          <c:showCatName val="0"/>
          <c:showSerName val="0"/>
          <c:showPercent val="0"/>
          <c:showBubbleSize val="0"/>
        </c:dLbls>
        <c:gapWidth val="182"/>
        <c:axId val="1149510992"/>
        <c:axId val="1149511472"/>
      </c:barChart>
      <c:catAx>
        <c:axId val="114951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472"/>
        <c:crosses val="autoZero"/>
        <c:auto val="1"/>
        <c:lblAlgn val="ctr"/>
        <c:lblOffset val="100"/>
        <c:noMultiLvlLbl val="0"/>
      </c:catAx>
      <c:valAx>
        <c:axId val="114951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13</xdr:row>
      <xdr:rowOff>0</xdr:rowOff>
    </xdr:from>
    <xdr:to>
      <xdr:col>22</xdr:col>
      <xdr:colOff>304800</xdr:colOff>
      <xdr:row>33</xdr:row>
      <xdr:rowOff>127000</xdr:rowOff>
    </xdr:to>
    <xdr:graphicFrame macro="">
      <xdr:nvGraphicFramePr>
        <xdr:cNvPr id="2" name="Chart 1">
          <a:extLst>
            <a:ext uri="{FF2B5EF4-FFF2-40B4-BE49-F238E27FC236}">
              <a16:creationId xmlns:a16="http://schemas.microsoft.com/office/drawing/2014/main" id="{08E9BFBF-107E-46C5-ADE4-AC80F09AA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Results.xlsx" TargetMode="External"/><Relationship Id="rId2" Type="http://schemas.openxmlformats.org/officeDocument/2006/relationships/externalLinkPath" Target="file:///C:\Users\Usuario\Downloads\Results.xlsx" TargetMode="External"/><Relationship Id="rId1" Type="http://schemas.openxmlformats.org/officeDocument/2006/relationships/externalLinkPath" Target="/Users/Usuario/Downloads/Resul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6_BreadCrumbPorosity"/>
      <sheetName val="6_BreadCrumbPorosity_new_model"/>
    </sheetNames>
    <sheetDataSet>
      <sheetData sheetId="0"/>
      <sheetData sheetId="1">
        <row r="2">
          <cell r="W2" t="str">
            <v>CV% 2D Porosity</v>
          </cell>
          <cell r="X2" t="str">
            <v>CV% 3D Vol.</v>
          </cell>
          <cell r="Y2" t="str">
            <v>CV% Cell Count</v>
          </cell>
          <cell r="Z2" t="str">
            <v>CV% Cell Density</v>
          </cell>
          <cell r="AA2" t="str">
            <v>CV% Mean Cell Area</v>
          </cell>
        </row>
        <row r="3">
          <cell r="K3" t="str">
            <v>Flour</v>
          </cell>
          <cell r="W3">
            <v>7.232401157183603E-2</v>
          </cell>
          <cell r="X3">
            <v>7.2476556434332276E-2</v>
          </cell>
          <cell r="Y3">
            <v>1.4686524553281315</v>
          </cell>
          <cell r="Z3">
            <v>0.64677268907084617</v>
          </cell>
          <cell r="AA3">
            <v>0.71657862467477029</v>
          </cell>
        </row>
        <row r="4">
          <cell r="K4" t="str">
            <v>10% BSG+70ppmE</v>
          </cell>
          <cell r="W4">
            <v>1.7518681805250496</v>
          </cell>
          <cell r="X4">
            <v>1.7562282208062985</v>
          </cell>
          <cell r="Y4">
            <v>1.5087550588579073</v>
          </cell>
          <cell r="Z4">
            <v>1.2168598786360834</v>
          </cell>
          <cell r="AA4">
            <v>1.7349689603934855</v>
          </cell>
        </row>
        <row r="5">
          <cell r="K5" t="str">
            <v>20% BSG+70ppmE</v>
          </cell>
          <cell r="W5">
            <v>27.511273347306791</v>
          </cell>
          <cell r="X5">
            <v>27.524491073620368</v>
          </cell>
          <cell r="Y5">
            <v>24.872445106277837</v>
          </cell>
          <cell r="Z5">
            <v>25.389850327924286</v>
          </cell>
          <cell r="AA5">
            <v>18.552498712404002</v>
          </cell>
        </row>
        <row r="6">
          <cell r="K6" t="str">
            <v>10% BSG_fraction+70ppmE</v>
          </cell>
          <cell r="W6">
            <v>6.5714498010925864</v>
          </cell>
          <cell r="X6">
            <v>6.5781779742657589</v>
          </cell>
          <cell r="Y6">
            <v>8.9566959766801109</v>
          </cell>
          <cell r="Z6">
            <v>5.8455220837984889</v>
          </cell>
          <cell r="AA6">
            <v>12.27932391576592</v>
          </cell>
        </row>
        <row r="7">
          <cell r="K7" t="str">
            <v>20% BSG_fraction+70ppmE</v>
          </cell>
          <cell r="W7">
            <v>3.5333512458473111</v>
          </cell>
          <cell r="X7">
            <v>3.5256819752435886</v>
          </cell>
          <cell r="Y7">
            <v>3.6813886922309762</v>
          </cell>
          <cell r="Z7">
            <v>2.1602809914205197</v>
          </cell>
          <cell r="AA7">
            <v>5.5748498347329436</v>
          </cell>
        </row>
        <row r="8">
          <cell r="K8" t="str">
            <v>10% BSG+140ppmE</v>
          </cell>
          <cell r="W8">
            <v>10.563623225152128</v>
          </cell>
          <cell r="X8">
            <v>10.578261043300282</v>
          </cell>
          <cell r="Y8">
            <v>28.102877981579343</v>
          </cell>
          <cell r="Z8">
            <v>2.7339104816277766</v>
          </cell>
          <cell r="AA8">
            <v>11.665688588560979</v>
          </cell>
        </row>
        <row r="9">
          <cell r="K9" t="str">
            <v>20% BSG+140ppmE</v>
          </cell>
          <cell r="W9">
            <v>14.068736941422111</v>
          </cell>
          <cell r="X9">
            <v>14.061187405455094</v>
          </cell>
          <cell r="Y9">
            <v>3.1442125095943672</v>
          </cell>
          <cell r="Z9">
            <v>2.9972099804446533</v>
          </cell>
          <cell r="AA9">
            <v>16.52285302091623</v>
          </cell>
        </row>
        <row r="10">
          <cell r="K10" t="str">
            <v>10% BSG_fraction+140ppmE</v>
          </cell>
          <cell r="W10">
            <v>6.7847902736982562</v>
          </cell>
          <cell r="X10">
            <v>6.7556175243229086</v>
          </cell>
          <cell r="Y10">
            <v>5.1923590109712014</v>
          </cell>
          <cell r="Z10">
            <v>1.1927278368367191</v>
          </cell>
          <cell r="AA10">
            <v>7.1762874902528893</v>
          </cell>
        </row>
        <row r="11">
          <cell r="K11" t="str">
            <v>20% BSG_fraction+140ppmE</v>
          </cell>
          <cell r="W11">
            <v>12.480118166365644</v>
          </cell>
          <cell r="X11">
            <v>12.492669865338382</v>
          </cell>
          <cell r="Y11">
            <v>2.6819029731657533</v>
          </cell>
          <cell r="Z11">
            <v>3.5585532305554466</v>
          </cell>
          <cell r="AA11">
            <v>15.910522359922904</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F7BC46-39E8-4835-9B9E-D8B62911BF99}" name="Table3" displayName="Table3" ref="A2:D21" totalsRowShown="0" headerRowDxfId="91" headerRowBorderDxfId="90" tableBorderDxfId="89" totalsRowBorderDxfId="88">
  <autoFilter ref="A2:D21" xr:uid="{FDF7BC46-39E8-4835-9B9E-D8B62911BF99}"/>
  <tableColumns count="4">
    <tableColumn id="1" xr3:uid="{60B48867-AA81-47B2-B9DD-C13ECB584ED6}" name="Parameter" dataDxfId="87"/>
    <tableColumn id="2" xr3:uid="{40C056E9-2C81-4E7F-87D4-1EB567FFD00C}" name="Sample" dataDxfId="86"/>
    <tableColumn id="3" xr3:uid="{9469A439-0374-43C5-8C72-489E56F9407D}" name="Average (%)" dataDxfId="85">
      <calculatedColumnFormula array="1">AVERAGEIFS(
  _xlfn.SWITCH(A3,"Moisture",'1_RawMaterial'!K:K,"Ash",'1_RawMaterial'!L:L,"Protein",'1_RawMaterial'!N:N,"Gluten",'1_RawMaterial'!P:P,"Fibre",'1_RawMaterial'!Q:Q),
  '1_RawMaterial'!D:D, A3,
  '1_RawMaterial'!C:C, B3
)</calculatedColumnFormula>
    </tableColumn>
    <tableColumn id="4" xr3:uid="{3FE075BD-2D07-4C47-B486-C015113DA7FE}" name="SD (%)" dataDxfId="84">
      <calculatedColumnFormula array="1">_xlfn.STDEV.S(
  _xlfn._xlws.FILTER(
    _xlfn.SWITCH(A3,"Moisture",'1_RawMaterial'!K:K,"Ash",'1_RawMaterial'!L:L,"Protein",'1_RawMaterial'!N:N,"Gluten",'1_RawMaterial'!P:P,"Fibre",'1_RawMaterial'!Q:Q),
    ('1_RawMaterial'!D:D=A3)*('1_RawMaterial'!C:C=B3)
  )
)</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8F5462-0582-4AA1-ACD7-E90BAAEDFA54}" name="Table2" displayName="Table2" ref="A1:S39" totalsRowShown="0" headerRowDxfId="83" dataDxfId="82">
  <autoFilter ref="A1:S39" xr:uid="{B38F5462-0582-4AA1-ACD7-E90BAAEDFA54}"/>
  <tableColumns count="19">
    <tableColumn id="1" xr3:uid="{BD0580B3-199F-4031-8F10-41C86561FAA7}" name="N" dataDxfId="81"/>
    <tableColumn id="2" xr3:uid="{21477B95-47F2-4B58-96C9-52BD506005EC}" name="Name" dataDxfId="80">
      <calculatedColumnFormula>_xlfn.CONCAT(C2,"_",D2,"_",E2)</calculatedColumnFormula>
    </tableColumn>
    <tableColumn id="3" xr3:uid="{23FF7A45-7DFE-494B-9149-8E62D9218F57}" name="Sample" dataDxfId="79"/>
    <tableColumn id="4" xr3:uid="{B095C7D2-05D7-498D-A4D5-12CAB81EC136}" name="Parameter" dataDxfId="78"/>
    <tableColumn id="5" xr3:uid="{CE8F5C7E-80FB-4091-97A5-DC91C7F1071D}" name="Rep" dataDxfId="77"/>
    <tableColumn id="6" xr3:uid="{0F29F641-666A-477E-8F5D-9C35745FD69B}" name="Recipient number" dataDxfId="76"/>
    <tableColumn id="7" xr3:uid="{54DA80F1-FA86-4408-BB6A-2F3574796D42}" name="Sample Weight (g)" dataDxfId="75"/>
    <tableColumn id="16" xr3:uid="{E4B74F98-5505-4E47-8531-7DFF400204F7}" name="Incial Weight (g)" dataDxfId="74">
      <calculatedColumnFormula>SUM(_xlfn.XLOOKUP(Table2[[#This Row],[Recipient number]],Extra_RecipientsWeight!A:A,Extra_RecipientsWeight!B:B)+G2)</calculatedColumnFormula>
    </tableColumn>
    <tableColumn id="8" xr3:uid="{7E4DB5BE-CE44-4004-84C8-F3B4FD70EA96}" name="Final Weight (g)" dataDxfId="73"/>
    <tableColumn id="9" xr3:uid="{49379ABB-41EC-4AE4-B29E-86E0138CE39D}" name="Weight Loss (g)" dataDxfId="72">
      <calculatedColumnFormula>G2-I2</calculatedColumnFormula>
    </tableColumn>
    <tableColumn id="10" xr3:uid="{10CE18D3-A8DB-4088-97DA-AEA618E1FDBB}" name="Moisture (%)" dataDxfId="71">
      <calculatedColumnFormula>(G2-I2)/G2*100</calculatedColumnFormula>
    </tableColumn>
    <tableColumn id="15" xr3:uid="{6BAA02C7-1DFB-497D-B2A2-6E789751BD86}" name="Ash" dataDxfId="70">
      <calculatedColumnFormula>NA()</calculatedColumnFormula>
    </tableColumn>
    <tableColumn id="18" xr3:uid="{0B6BD327-23FB-4137-943E-DC17B7CE560A}" name="Dry Matter" dataDxfId="69"/>
    <tableColumn id="14" xr3:uid="{3A781D52-EDBD-420B-851E-57BD14D08732}" name="Consumption of Acid (Protein)" dataDxfId="68">
      <calculatedColumnFormula>NA()</calculatedColumnFormula>
    </tableColumn>
    <tableColumn id="11" xr3:uid="{BA8BCDEB-54C7-42A4-A15F-E23B45752FAB}" name="Crude protein content (100% dry matter)" dataDxfId="67"/>
    <tableColumn id="13" xr3:uid="{C6F21194-D159-48AC-8C15-6D7DCAD597A6}" name="Wet Gluten (%)" dataDxfId="66">
      <calculatedColumnFormula>NA()</calculatedColumnFormula>
    </tableColumn>
    <tableColumn id="19" xr3:uid="{0AF6E956-F4D1-4A28-8146-C4C56AFD4AA4}" name="Total Fibre (%)" dataDxfId="65"/>
    <tableColumn id="12" xr3:uid="{021B0717-C0A1-4E63-9330-9EFB0730E6E8}" name="Date" dataDxfId="64"/>
    <tableColumn id="17" xr3:uid="{E078F0F8-05E2-4574-B700-E9AA719E2C5C}" name="Comments" dataDxfId="63"/>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010A23-B18C-4CA8-91F0-94198E6C1B09}" name="Tabla4" displayName="Tabla4" ref="A1:Z14" totalsRowShown="0" headerRowDxfId="62" dataDxfId="61">
  <autoFilter ref="A1:Z14" xr:uid="{1C010A23-B18C-4CA8-91F0-94198E6C1B09}"/>
  <sortState xmlns:xlrd2="http://schemas.microsoft.com/office/spreadsheetml/2017/richdata2" ref="A2:Z14">
    <sortCondition descending="1" ref="C1:C14"/>
  </sortState>
  <tableColumns count="26">
    <tableColumn id="1" xr3:uid="{22EED135-82ED-4A61-BACE-F29CCD78A317}" name="N°" dataDxfId="60"/>
    <tableColumn id="2" xr3:uid="{30794813-AACC-4CA6-80C5-DA17E665F967}" name="Sample" dataDxfId="59"/>
    <tableColumn id="3" xr3:uid="{4491AF86-7AC5-49A4-9537-06EE30A57D67}" name="Parameter" dataDxfId="58"/>
    <tableColumn id="4" xr3:uid="{E302A791-C75C-4F9F-8F70-5CE600E7C1E3}" name="Rep" dataDxfId="57"/>
    <tableColumn id="5" xr3:uid="{EF210C36-7738-4F18-B8AF-AE94AFE11F06}" name="Flour Weight (g)" dataDxfId="56"/>
    <tableColumn id="13" xr3:uid="{F7319DE5-7BCD-475D-9467-9053945EECDE}" name="Moisture content (%)" dataDxfId="55"/>
    <tableColumn id="6" xr3:uid="{46294721-83DB-4C9A-B524-551900D9C6E3}" name="Water Added (mL)" dataDxfId="54"/>
    <tableColumn id="7" xr3:uid="{C1F03C98-CD44-4DAC-BCFE-9060F7F533E4}" name="Time (min)" dataDxfId="53"/>
    <tableColumn id="20" xr3:uid="{5481CD6E-F309-4F29-8718-0635A153430A}" name="Temperature (°C)" dataDxfId="52"/>
    <tableColumn id="8" xr3:uid="{3E2EA284-1361-4194-B4F0-9B2714AB8ACD}" name="Consistency (BU)" dataDxfId="51"/>
    <tableColumn id="9" xr3:uid="{F26A262B-947C-422D-B0B1-A1BF4EB5677B}" name="Water absorption set (%)" dataDxfId="50"/>
    <tableColumn id="12" xr3:uid="{4526E796-E62D-43B5-8A43-6640097C6AC5}" name="Water absorption (%) (corrected for 500 FU)" dataDxfId="49"/>
    <tableColumn id="14" xr3:uid="{8BBECEAA-CEED-4DF3-B7FC-813A8263F3D3}" name="Water absorption (%) (corrected to 14%)" dataDxfId="48"/>
    <tableColumn id="15" xr3:uid="{4DE27410-E9B3-42DF-B274-80E7842EFC8D}" name="Development time (min)" dataDxfId="47"/>
    <tableColumn id="16" xr3:uid="{653B25B1-311B-40AE-B877-534301211C35}" name="Stability (min)" dataDxfId="46"/>
    <tableColumn id="17" xr3:uid="{9AE02790-9151-4B6E-8AA1-E88D70EEF168}" name="Degree of softening (FU) (10min after begin)" dataDxfId="45"/>
    <tableColumn id="18" xr3:uid="{F25A0554-4097-40A1-BBCC-8A9D446D31B3}" name="Degree of softening (FU) (12 min after max)" dataDxfId="44"/>
    <tableColumn id="19" xr3:uid="{D7B71297-0E6E-4662-9F77-EE184F1026CB}" name="Farinograph quality number" dataDxfId="43"/>
    <tableColumn id="21" xr3:uid="{A1ACEEAD-B2C9-41C5-A74E-2BB071C97EB0}" name="Heating Rate (°C/min)" dataDxfId="42"/>
    <tableColumn id="22" xr3:uid="{AB12B332-503C-41F6-91B1-7F5A4025F5B5}" name="Sample weight corr. to 14% (g/ml)" dataDxfId="41"/>
    <tableColumn id="25" xr3:uid="{186FE6FD-483E-48EB-9B7B-5D4D2D84110C}" name="Begin of gelatinization (°C)" dataDxfId="40"/>
    <tableColumn id="24" xr3:uid="{BE27B076-26F2-4025-A5FA-B0E38DF73CDA}" name="Gelatinization temperature (°C)" dataDxfId="39"/>
    <tableColumn id="23" xr3:uid="{ED56CF9F-EFD8-4A20-913A-1C00272C72A2}" name="Gelatinization maximum (AU)" dataDxfId="38"/>
    <tableColumn id="10" xr3:uid="{DA9F880E-64A9-4344-A81C-123300787B88}" name="Date" dataDxfId="37"/>
    <tableColumn id="11" xr3:uid="{DC50CE10-6032-4BE0-8E5F-6CF55368AF4F}" name="Comments" dataDxfId="36"/>
    <tableColumn id="26" xr3:uid="{0097FBDA-6602-4E7B-AB7F-371DCF1B8911}" name="Results &amp; conclusion" dataDxfId="35"/>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D3F784-0940-455C-AC8E-22D5FF3278A0}" name="Tabla5" displayName="Tabla5" ref="D2:P16" totalsRowShown="0" headerRowDxfId="106" dataDxfId="105">
  <autoFilter ref="D2:P16" xr:uid="{D8D3F784-0940-455C-AC8E-22D5FF3278A0}"/>
  <tableColumns count="13">
    <tableColumn id="1" xr3:uid="{BDC66430-9068-4B60-AB84-618F72719947}" name="Sample ID" dataDxfId="104">
      <calculatedColumnFormula>_xlfn.CONCAT(A3,"_",B3,"_",C3)</calculatedColumnFormula>
    </tableColumn>
    <tableColumn id="2" xr3:uid="{C16814D9-3647-4489-9A05-6E4CCE37335E}" name="Flour (g)" dataDxfId="103"/>
    <tableColumn id="3" xr3:uid="{0C822DDC-F2C4-4207-B0F5-DEDA48742517}" name="BSG Level (%)" dataDxfId="102"/>
    <tableColumn id="4" xr3:uid="{BB73ACD7-5C61-4CF3-B341-E5A4E36513CA}" name="Yeast (g)" dataDxfId="101"/>
    <tableColumn id="5" xr3:uid="{16673E80-D7D0-4B8D-B4D9-E261F8862F63}" name="Salt (g)" dataDxfId="100"/>
    <tableColumn id="6" xr3:uid="{E40AF194-F573-4F05-A8A5-D50DCD665724}" name="Sugar (g)" dataDxfId="99"/>
    <tableColumn id="7" xr3:uid="{F79AED59-5FE4-4ED3-8339-D650A5EE3D6F}" name="Water (ml)" dataDxfId="98"/>
    <tableColumn id="8" xr3:uid="{2FAF4D09-C302-4999-8AD0-48CB6244046F}" name="Weight dough (g)" dataDxfId="97"/>
    <tableColumn id="9" xr3:uid="{D589309E-E016-49EE-9E14-4854212CD960}" name="Weight bread (g)" dataDxfId="96"/>
    <tableColumn id="10" xr3:uid="{0C2BF042-1CF1-470C-B161-9FC95050830D}" name="Volume (ml)" dataDxfId="95"/>
    <tableColumn id="11" xr3:uid="{D5B6DD0F-34B7-41BF-B3E7-1A2FD69AD872}" name="Height/Width" dataDxfId="94"/>
    <tableColumn id="13" xr3:uid="{0C4386B3-4EA2-4229-A610-723D86C54A40}" name="Date" dataDxfId="93"/>
    <tableColumn id="14" xr3:uid="{183C31E7-A0FD-4973-96E6-DC5E9EB65DC4}" name="Comments" dataDxfId="92"/>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A6EE46-2EA1-45F0-A4D9-1D5AD8B5B7C7}" name="Table27" displayName="Table27" ref="A1:R99" totalsRowShown="0" headerRowDxfId="34" dataDxfId="33">
  <autoFilter ref="A1:R99" xr:uid="{B38F5462-0582-4AA1-ACD7-E90BAAEDFA54}"/>
  <tableColumns count="18">
    <tableColumn id="1" xr3:uid="{5B1D933B-C5CC-416B-B652-602989036859}" name="N" dataDxfId="32"/>
    <tableColumn id="13" xr3:uid="{FD48B63D-1F1A-49C7-A4A7-D4C7AE7E6112}" name="Batch" dataDxfId="31"/>
    <tableColumn id="2" xr3:uid="{754CDCEA-B100-447C-A4F5-EF30754A71C6}" name="Name" dataDxfId="30">
      <calculatedColumnFormula>_xlfn.CONCAT(D2,"_",E2,"_",B2,"_",F2)</calculatedColumnFormula>
    </tableColumn>
    <tableColumn id="3" xr3:uid="{717BF533-4822-4C52-B665-DD39DC1937A1}" name="Sample" dataDxfId="29"/>
    <tableColumn id="4" xr3:uid="{14AE18BB-3546-4E32-B3DC-27E2895FDD99}" name="Parameter" dataDxfId="28"/>
    <tableColumn id="5" xr3:uid="{F7570A51-A6C4-4AC5-869E-B0CC70028B71}" name="Rep" dataDxfId="27"/>
    <tableColumn id="6" xr3:uid="{DDAF2B07-20A8-4B27-A20D-475D47710F4D}" name="Recipient number" dataDxfId="26"/>
    <tableColumn id="7" xr3:uid="{EAC1B96A-6663-4AEE-A8E9-000702261ABB}" name="Sample Weight (g)" dataDxfId="25"/>
    <tableColumn id="16" xr3:uid="{6733B247-B851-4C2F-9F30-EE2EFF52428F}" name="Incial Weight (g)" dataDxfId="24">
      <calculatedColumnFormula>SUM(_xlfn.XLOOKUP(Table27[[#This Row],[Recipient number]],Extra_RecipientsWeight!A:A,Extra_RecipientsWeight!B:B)+H2)</calculatedColumnFormula>
    </tableColumn>
    <tableColumn id="8" xr3:uid="{F554C815-6260-41FE-AC2B-EB3568FBA1CC}" name="Final Weight (g)" dataDxfId="23"/>
    <tableColumn id="10" xr3:uid="{FD41146A-5D60-4DB3-8914-713122AF4133}" name="Moisture (%)" dataDxfId="22">
      <calculatedColumnFormula>(H2-J2)/H2*100</calculatedColumnFormula>
    </tableColumn>
    <tableColumn id="18" xr3:uid="{7E7FD80E-DBDA-49BF-A668-7B5FAE422E56}" name="Dry Matter" dataDxfId="21">
      <calculatedColumnFormula>1-K2</calculatedColumnFormula>
    </tableColumn>
    <tableColumn id="15" xr3:uid="{773E6129-E6A6-44B0-9F26-193B7F579F3F}" name="Ash (%)" dataDxfId="20">
      <calculatedColumnFormula>NA()</calculatedColumnFormula>
    </tableColumn>
    <tableColumn id="14" xr3:uid="{D77A430E-2E10-465F-B00E-56FED9B98AF0}" name="Consumption of Acid (Protein)" dataDxfId="19">
      <calculatedColumnFormula>NA()</calculatedColumnFormula>
    </tableColumn>
    <tableColumn id="11" xr3:uid="{022773E5-FF44-4E77-B2E8-6CC9D592EA84}" name="Crude protein content (100% dry matter)" dataDxfId="18"/>
    <tableColumn id="9" xr3:uid="{1DE63D6E-FC92-4F5E-BADD-DB93385E4F23}" name="Total Fibre (%)" dataDxfId="17"/>
    <tableColumn id="12" xr3:uid="{459D5CE9-62A4-4328-9158-72205328565F}" name="Date" dataDxfId="16"/>
    <tableColumn id="17" xr3:uid="{1AA78C2E-4E5F-43FB-A9C0-7B73D851F256}" name="Comments" dataDxfId="15"/>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558C18-AFC9-4555-9161-4AEE8E834711}" name="Tabla8" displayName="Tabla8" ref="A1:I28" totalsRowShown="0" headerRowDxfId="14">
  <autoFilter ref="A1:I28" xr:uid="{1E558C18-AFC9-4555-9161-4AEE8E834711}"/>
  <tableColumns count="9">
    <tableColumn id="1" xr3:uid="{5DEAFCDD-8894-4320-906A-7D7CC12967AD}" name="N"/>
    <tableColumn id="9" xr3:uid="{D9C0ECC2-581A-494B-9AE9-75CCD5BD2A1D}" name="Name"/>
    <tableColumn id="2" xr3:uid="{B934B4B3-D78C-41D5-9921-8167BDF04D33}" name="Method of Measurement"/>
    <tableColumn id="3" xr3:uid="{903C4FE7-2A9D-4378-B7F1-6E860CFD710A}" name="2D Porosity / Void Fraction (%) " dataDxfId="13"/>
    <tableColumn id="4" xr3:uid="{A6FCF511-A28F-4FF4-B5C7-C3AFCBFFBF20}" name="3D Corrected Estimated Vol. (%)" dataDxfId="12"/>
    <tableColumn id="5" xr3:uid="{5BB10249-A390-4A2D-90CA-CA219470211E}" name="Cell Count (valid pores)"/>
    <tableColumn id="6" xr3:uid="{5398105B-70BA-4E87-86D7-808B0237BB2E}" name="Cell Density (cells/cm²)"/>
    <tableColumn id="7" xr3:uid="{1BCD4FFB-4FE5-444C-83AF-CC046AA29D30}" name="Mean Cell Area (mm² per pore)"/>
    <tableColumn id="10" xr3:uid="{59BCB438-24B7-4F06-A97F-9EAAECDA7027}" name="Date" dataDxfId="11"/>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EF8FE-6F98-488C-9BA9-7BD422C5102B}" name="Table1" displayName="Table1" ref="A1:C31" totalsRowShown="0" headerRowBorderDxfId="10" tableBorderDxfId="9" totalsRowBorderDxfId="8">
  <autoFilter ref="A1:C31" xr:uid="{6E3EF8FE-6F98-488C-9BA9-7BD422C5102B}"/>
  <tableColumns count="3">
    <tableColumn id="1" xr3:uid="{6E604BD8-A222-44B9-A325-E1D038DDC992}" name="Number" dataDxfId="7"/>
    <tableColumn id="2" xr3:uid="{40DE0A59-B1D4-4043-BE4F-2ADE0BFD7468}" name="Weight" dataDxfId="6"/>
    <tableColumn id="3" xr3:uid="{AA4E2523-A1A6-41C0-8AB1-212C6E7988D1}" name="Test" dataDxfId="5"/>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54"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2B8F51-DF48-429E-B2D8-3C42CE8F026D}">
  <we:reference id="29673e3c-d826-4f00-92ee-162334a52b1a" version="1.0.0.8" store="EXCatalog" storeType="EXCatalog"/>
  <we:alternateReferences>
    <we:reference id="WA200009404" version="1.0.0.8" store="en-US" storeType="OMEX"/>
  </we:alternateReferences>
  <we:properties>
    <we:property name="claude.fileId" value="&quot;5e64ea55-4dd2-498d-b824-d6d5e0f20a7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6E23-C820-4069-9B2A-CBC9681D4CEF}">
  <dimension ref="A1:AA134"/>
  <sheetViews>
    <sheetView showGridLines="0" tabSelected="1" topLeftCell="I1" workbookViewId="0">
      <selection activeCell="J12" sqref="J12"/>
    </sheetView>
  </sheetViews>
  <sheetFormatPr defaultRowHeight="15" customHeight="1" x14ac:dyDescent="0.35"/>
  <cols>
    <col min="1" max="1" width="12.453125" customWidth="1"/>
    <col min="2" max="2" width="15.81640625" customWidth="1"/>
    <col min="3" max="3" width="12.7265625" customWidth="1"/>
    <col min="4" max="4" width="11.26953125" customWidth="1"/>
    <col min="6" max="6" width="12.08984375" customWidth="1"/>
    <col min="7" max="7" width="5.54296875" bestFit="1" customWidth="1"/>
    <col min="8" max="8" width="24.54296875" bestFit="1" customWidth="1"/>
    <col min="9" max="9" width="10.7265625" bestFit="1" customWidth="1"/>
    <col min="10" max="10" width="9.08984375" customWidth="1"/>
    <col min="11" max="11" width="6.7265625" customWidth="1"/>
    <col min="12" max="12" width="24.54296875" customWidth="1"/>
    <col min="13" max="13" width="7.26953125" customWidth="1"/>
    <col min="14" max="14" width="16" customWidth="1"/>
    <col min="15" max="15" width="12.453125" customWidth="1"/>
    <col min="17" max="17" width="23.36328125" customWidth="1"/>
  </cols>
  <sheetData>
    <row r="1" spans="1:27" ht="15" customHeight="1" x14ac:dyDescent="0.35">
      <c r="A1" s="221" t="s">
        <v>0</v>
      </c>
      <c r="B1" s="222"/>
      <c r="C1" s="222"/>
      <c r="D1" s="223"/>
      <c r="F1" s="224" t="s">
        <v>1</v>
      </c>
      <c r="G1" s="225"/>
      <c r="H1" s="225"/>
      <c r="I1" s="225"/>
      <c r="J1" s="226"/>
      <c r="K1" s="160"/>
      <c r="L1" s="221" t="s">
        <v>2</v>
      </c>
      <c r="M1" s="222"/>
      <c r="N1" s="222"/>
      <c r="O1" s="223"/>
      <c r="Q1" s="224" t="s">
        <v>152</v>
      </c>
      <c r="R1" s="225"/>
      <c r="S1" s="225"/>
      <c r="T1" s="225"/>
      <c r="U1" s="225"/>
      <c r="V1" s="225"/>
      <c r="W1" s="225"/>
      <c r="X1" s="225"/>
      <c r="Y1" s="225"/>
      <c r="Z1" s="225"/>
      <c r="AA1" s="226"/>
    </row>
    <row r="2" spans="1:27" thickBot="1" x14ac:dyDescent="0.4">
      <c r="A2" s="73" t="s">
        <v>3</v>
      </c>
      <c r="B2" s="68" t="s">
        <v>4</v>
      </c>
      <c r="C2" s="68" t="s">
        <v>5</v>
      </c>
      <c r="D2" s="74" t="s">
        <v>6</v>
      </c>
      <c r="F2" s="174" t="s">
        <v>3</v>
      </c>
      <c r="G2" s="77" t="s">
        <v>139</v>
      </c>
      <c r="H2" s="77" t="s">
        <v>4</v>
      </c>
      <c r="I2" s="77" t="s">
        <v>5</v>
      </c>
      <c r="J2" s="175" t="s">
        <v>6</v>
      </c>
      <c r="K2" s="160"/>
      <c r="L2" s="90" t="s">
        <v>4</v>
      </c>
      <c r="M2" s="116" t="s">
        <v>7</v>
      </c>
      <c r="N2" s="77" t="s">
        <v>8</v>
      </c>
      <c r="O2" s="91" t="s">
        <v>6</v>
      </c>
      <c r="Q2" s="244" t="s">
        <v>141</v>
      </c>
      <c r="R2" s="240" t="s">
        <v>142</v>
      </c>
      <c r="S2" s="240" t="s">
        <v>143</v>
      </c>
      <c r="T2" s="240" t="s">
        <v>144</v>
      </c>
      <c r="U2" s="240" t="s">
        <v>145</v>
      </c>
      <c r="V2" s="240" t="s">
        <v>146</v>
      </c>
      <c r="W2" s="240" t="s">
        <v>147</v>
      </c>
      <c r="X2" s="240" t="s">
        <v>148</v>
      </c>
      <c r="Y2" s="240" t="s">
        <v>149</v>
      </c>
      <c r="Z2" s="240" t="s">
        <v>150</v>
      </c>
      <c r="AA2" s="245" t="s">
        <v>151</v>
      </c>
    </row>
    <row r="3" spans="1:27" ht="14.5" x14ac:dyDescent="0.35">
      <c r="A3" s="61" t="s">
        <v>9</v>
      </c>
      <c r="B3" s="62" t="s">
        <v>10</v>
      </c>
      <c r="C3" s="63" cm="1">
        <f t="array" ref="C3">AVERAGEIFS(
  _xlfn.SWITCH(A3,"Moisture",'1_RawMaterial'!K:K,"Ash",'1_RawMaterial'!L:L,"Protein",'1_RawMaterial'!N:N,"Gluten",'1_RawMaterial'!P:P,"Fibre",'1_RawMaterial'!Q:Q),
  '1_RawMaterial'!D:D, A3,
  '1_RawMaterial'!C:C, B3
)</f>
        <v>0.12429887198801075</v>
      </c>
      <c r="D3" s="70" cm="1">
        <f t="array" ref="D3">_xlfn.STDEV.S(
  _xlfn._xlws.FILTER(
    _xlfn.SWITCH(A3,"Moisture",'1_RawMaterial'!K:K,"Ash",'1_RawMaterial'!L:L,"Protein",'1_RawMaterial'!N:N,"Gluten",'1_RawMaterial'!P:P,"Fibre",'1_RawMaterial'!Q:Q),
    ('1_RawMaterial'!D:D=A3)*('1_RawMaterial'!C:C=B3)
  )
)</f>
        <v>2.63632908235281E-5</v>
      </c>
      <c r="F3" s="178" t="s">
        <v>9</v>
      </c>
      <c r="G3" s="179" t="s">
        <v>135</v>
      </c>
      <c r="H3" s="180" t="s">
        <v>10</v>
      </c>
      <c r="I3" s="181" cm="1">
        <f t="array" ref="I3">IFERROR(_xlfn.LET(_xlpm.col,_xlfn.SWITCH($F3,"Moisture",'4_BreadComposition'!$K$2:$K$99,"Ash",'4_BreadComposition'!$M$2:$M$99,"Protein",'4_BreadComposition'!$O$2:$O$99,"Fibre",'4_BreadComposition'!$P$2:$P$99),_xlpm.f,_xlfn._xlws.FILTER(_xlpm.col,(TRIM('4_BreadComposition'!$D$2:$D$99)=TRIM($H3))*('4_BreadComposition'!$E$2:$E$99=$F3)*('4_BreadComposition'!$B$2:$B$99=$G3)*ISNUMBER(_xlpm.col)),AVERAGE(_xlpm.f)),"")</f>
        <v>9.3306693306693056E-2</v>
      </c>
      <c r="J3" s="182" t="str" cm="1">
        <f t="array" ref="J3">IFERROR(_xlfn.LET(_xlpm.col,_xlfn.SWITCH($F3,"Moisture",'4_BreadComposition'!$K$2:$K$99,"Ash",'4_BreadComposition'!$M$2:$M$99,"Protein",'4_BreadComposition'!$O$2:$O$99,"Fibre",'4_BreadComposition'!$P$2:$P$99),_xlpm.f,_xlfn._xlws.FILTER(_xlpm.col,(TRIM('4_BreadComposition'!$D$2:$D$99)=TRIM($H3))*('4_BreadComposition'!$E$2:$E$99=$F3)*('4_BreadComposition'!$B$2:$B$99=$G3)*ISNUMBER(_xlpm.col)),_xlfn.STDEV.S(_xlpm.f)),"")</f>
        <v/>
      </c>
      <c r="K3" s="160"/>
      <c r="L3" s="108" t="s">
        <v>10</v>
      </c>
      <c r="M3" s="109">
        <v>1</v>
      </c>
      <c r="N3" s="110">
        <f>AVERAGEIFS('5_Sensorial'!$N:$N, '5_Sensorial'!$B:$B, L3, '5_Sensorial'!$C:$C, M3)</f>
        <v>82.5625</v>
      </c>
      <c r="O3" s="111" cm="1">
        <f t="array" ref="O3">_xlfn.STDEV.S(IF(('5_Sensorial'!$B:$B=$L3)*('5_Sensorial'!$C:$C=$M3),'5_Sensorial'!$N:$N)) /
AVERAGEIFS('5_Sensorial'!$N:$N,'5_Sensorial'!$B:$B,$L3,'5_Sensorial'!$C:$C,$M3) * 100</f>
        <v>9.0778970700412707</v>
      </c>
      <c r="Q3" s="246" t="s">
        <v>10</v>
      </c>
      <c r="R3" s="241">
        <f>AVERAGEIF('6_BreadCrumbPorosity'!$B$2:$B$28,$Q3,'6_BreadCrumbPorosity'!D$2:D$28)</f>
        <v>41.48</v>
      </c>
      <c r="S3" s="241" cm="1">
        <f t="array" ref="S3">STDEV(IF('6_BreadCrumbPorosity'!$B$2:$B$28=$Q3,'6_BreadCrumbPorosity'!D$2:D$28))</f>
        <v>2.9999999999997584E-2</v>
      </c>
      <c r="T3" s="241">
        <f>AVERAGEIF('6_BreadCrumbPorosity'!$B$2:$B$28,$Q3,'6_BreadCrumbPorosity'!E$2:E$28)</f>
        <v>62.216666666666669</v>
      </c>
      <c r="U3" s="241" cm="1">
        <f t="array" ref="U3">STDEV(IF('6_BreadCrumbPorosity'!$B$2:$B$28=$Q3,'6_BreadCrumbPorosity'!E$2:E$28))</f>
        <v>4.5092497528227068E-2</v>
      </c>
      <c r="V3" s="242">
        <f>AVERAGEIF('6_BreadCrumbPorosity'!$B$2:$B$28,$Q3,'6_BreadCrumbPorosity'!F$2:F$28)</f>
        <v>812.33333333333337</v>
      </c>
      <c r="W3" s="242" cm="1">
        <f t="array" ref="W3">STDEV(IF('6_BreadCrumbPorosity'!$B$2:$B$28=$Q3,'6_BreadCrumbPorosity'!F$2:F$28))</f>
        <v>11.930353445448855</v>
      </c>
      <c r="X3" s="243">
        <f>AVERAGEIF('6_BreadCrumbPorosity'!$B$2:$B$28,$Q3,'6_BreadCrumbPorosity'!G$2:G$28)</f>
        <v>11.033333333333333</v>
      </c>
      <c r="Y3" s="243" cm="1">
        <f t="array" ref="Y3">STDEV(IF('6_BreadCrumbPorosity'!$B$2:$B$28=$Q3,'6_BreadCrumbPorosity'!G$2:G$28))</f>
        <v>7.1360586694150033E-2</v>
      </c>
      <c r="Z3" s="243">
        <f>AVERAGEIF('6_BreadCrumbPorosity'!$B$2:$B$28,$Q3,'6_BreadCrumbPorosity'!H$2:H$28)</f>
        <v>3.7596000000000003</v>
      </c>
      <c r="AA3" s="247" cm="1">
        <f t="array" ref="AA3">STDEV(IF('6_BreadCrumbPorosity'!$B$2:$B$28=$Q3,'6_BreadCrumbPorosity'!H$2:H$28))</f>
        <v>2.6940489973272669E-2</v>
      </c>
    </row>
    <row r="4" spans="1:27" ht="14.5" x14ac:dyDescent="0.35">
      <c r="A4" s="64" t="s">
        <v>9</v>
      </c>
      <c r="B4" s="1" t="s">
        <v>11</v>
      </c>
      <c r="C4" s="19" cm="1">
        <f t="array" ref="C4">AVERAGEIFS(
  _xlfn.SWITCH(A4,"Moisture",'1_RawMaterial'!K:K,"Ash",'1_RawMaterial'!L:L,"Protein",'1_RawMaterial'!N:N,"Gluten",'1_RawMaterial'!P:P,"Fibre",'1_RawMaterial'!Q:Q),
  '1_RawMaterial'!D:D, A4,
  '1_RawMaterial'!C:C, B4
)</f>
        <v>4.9300201862768296E-2</v>
      </c>
      <c r="D4" s="71" cm="1">
        <f t="array" ref="D4">_xlfn.STDEV.S(
  _xlfn._xlws.FILTER(
    _xlfn.SWITCH(A4,"Moisture",'1_RawMaterial'!K:K,"Ash",'1_RawMaterial'!L:L,"Protein",'1_RawMaterial'!N:N,"Gluten",'1_RawMaterial'!P:P,"Fibre",'1_RawMaterial'!Q:Q),
    ('1_RawMaterial'!D:D=A4)*('1_RawMaterial'!C:C=B4)
  )
)</f>
        <v>1.0943032635032247E-3</v>
      </c>
      <c r="F4" s="165" t="s">
        <v>9</v>
      </c>
      <c r="G4" s="161" t="s">
        <v>135</v>
      </c>
      <c r="H4" s="1" t="s">
        <v>12</v>
      </c>
      <c r="I4" s="162" cm="1">
        <f t="array" ref="I4">IFERROR(_xlfn.LET(_xlpm.col,_xlfn.SWITCH($F4,"Moisture",'4_BreadComposition'!$K$2:$K$99,"Ash",'4_BreadComposition'!$M$2:$M$99,"Protein",'4_BreadComposition'!$O$2:$O$99,"Fibre",'4_BreadComposition'!$P$2:$P$99),_xlpm.f,_xlfn._xlws.FILTER(_xlpm.col,(TRIM('4_BreadComposition'!$D$2:$D$99)=TRIM($H4))*('4_BreadComposition'!$E$2:$E$99=$F4)*('4_BreadComposition'!$B$2:$B$99=$G4)*ISNUMBER(_xlpm.col)),AVERAGE(_xlpm.f)),"")</f>
        <v>9.0241322182079073E-2</v>
      </c>
      <c r="J4" s="166" t="str" cm="1">
        <f t="array" ref="J4">IFERROR(_xlfn.LET(_xlpm.col,_xlfn.SWITCH($F4,"Moisture",'4_BreadComposition'!$K$2:$K$99,"Ash",'4_BreadComposition'!$M$2:$M$99,"Protein",'4_BreadComposition'!$O$2:$O$99,"Fibre",'4_BreadComposition'!$P$2:$P$99),_xlpm.f,_xlfn._xlws.FILTER(_xlpm.col,(TRIM('4_BreadComposition'!$D$2:$D$99)=TRIM($H4))*('4_BreadComposition'!$E$2:$E$99=$F4)*('4_BreadComposition'!$B$2:$B$99=$G4)*ISNUMBER(_xlpm.col)),_xlfn.STDEV.S(_xlpm.f)),"")</f>
        <v/>
      </c>
      <c r="K4" s="160"/>
      <c r="L4" s="112" t="s">
        <v>12</v>
      </c>
      <c r="M4" s="106">
        <v>1</v>
      </c>
      <c r="N4" s="92">
        <f>AVERAGEIFS('5_Sensorial'!$N:$N, '5_Sensorial'!$B:$B, L4, '5_Sensorial'!$C:$C, M4)</f>
        <v>76.75</v>
      </c>
      <c r="O4" s="93" cm="1">
        <f t="array" ref="O4">_xlfn.STDEV.S(IF(('5_Sensorial'!$B:$B=$L4)*('5_Sensorial'!$C:$C=$M4),'5_Sensorial'!$N:$N)) /
AVERAGEIFS('5_Sensorial'!$N:$N,'5_Sensorial'!$B:$B,$L4,'5_Sensorial'!$C:$C,$M4) * 100</f>
        <v>7.8716911880094926</v>
      </c>
      <c r="Q4" s="246" t="s">
        <v>16</v>
      </c>
      <c r="R4" s="241">
        <f>AVERAGEIF('6_BreadCrumbPorosity'!$B$2:$B$28,$Q4,'6_BreadCrumbPorosity'!D$2:D$28)</f>
        <v>25.733333333333334</v>
      </c>
      <c r="S4" s="241" cm="1">
        <f t="array" ref="S4">STDEV(IF('6_BreadCrumbPorosity'!$B$2:$B$28=$Q4,'6_BreadCrumbPorosity'!D$2:D$28))</f>
        <v>0.45081407845511279</v>
      </c>
      <c r="T4" s="241">
        <f>AVERAGEIF('6_BreadCrumbPorosity'!$B$2:$B$28,$Q4,'6_BreadCrumbPorosity'!E$2:E$28)</f>
        <v>38.603333333333332</v>
      </c>
      <c r="U4" s="241" cm="1">
        <f t="array" ref="U4">STDEV(IF('6_BreadCrumbPorosity'!$B$2:$B$28=$Q4,'6_BreadCrumbPorosity'!E$2:E$28))</f>
        <v>0.67796263417192471</v>
      </c>
      <c r="V4" s="242">
        <f>AVERAGEIF('6_BreadCrumbPorosity'!$B$2:$B$28,$Q4,'6_BreadCrumbPorosity'!F$2:F$28)</f>
        <v>574</v>
      </c>
      <c r="W4" s="242" cm="1">
        <f t="array" ref="W4">STDEV(IF('6_BreadCrumbPorosity'!$B$2:$B$28=$Q4,'6_BreadCrumbPorosity'!F$2:F$28))</f>
        <v>8.6602540378443873</v>
      </c>
      <c r="X4" s="243">
        <f>AVERAGEIF('6_BreadCrumbPorosity'!$B$2:$B$28,$Q4,'6_BreadCrumbPorosity'!G$2:G$28)</f>
        <v>7.6126666666666667</v>
      </c>
      <c r="Y4" s="243" cm="1">
        <f t="array" ref="Y4">STDEV(IF('6_BreadCrumbPorosity'!$B$2:$B$28=$Q4,'6_BreadCrumbPorosity'!G$2:G$28))</f>
        <v>9.2635486360969577E-2</v>
      </c>
      <c r="Z4" s="243">
        <f>AVERAGEIF('6_BreadCrumbPorosity'!$B$2:$B$28,$Q4,'6_BreadCrumbPorosity'!H$2:H$28)</f>
        <v>3.3809</v>
      </c>
      <c r="AA4" s="247" cm="1">
        <f t="array" ref="AA4">STDEV(IF('6_BreadCrumbPorosity'!$B$2:$B$28=$Q4,'6_BreadCrumbPorosity'!H$2:H$28))</f>
        <v>5.8657565581943356E-2</v>
      </c>
    </row>
    <row r="5" spans="1:27" ht="14.5" x14ac:dyDescent="0.35">
      <c r="A5" s="64" t="s">
        <v>9</v>
      </c>
      <c r="B5" s="1" t="s">
        <v>13</v>
      </c>
      <c r="C5" s="19" cm="1">
        <f t="array" ref="C5">AVERAGEIFS(
  _xlfn.SWITCH(A5,"Moisture",'1_RawMaterial'!K:K,"Ash",'1_RawMaterial'!L:L,"Protein",'1_RawMaterial'!N:N,"Gluten",'1_RawMaterial'!P:P,"Fibre",'1_RawMaterial'!Q:Q),
  '1_RawMaterial'!D:D, A5,
  '1_RawMaterial'!C:C, B5
)</f>
        <v>0.1161183881611836</v>
      </c>
      <c r="D5" s="71" cm="1">
        <f t="array" ref="D5">_xlfn.STDEV.S(
  _xlfn._xlws.FILTER(
    _xlfn.SWITCH(A5,"Moisture",'1_RawMaterial'!K:K,"Ash",'1_RawMaterial'!L:L,"Protein",'1_RawMaterial'!N:N,"Gluten",'1_RawMaterial'!P:P,"Fibre",'1_RawMaterial'!Q:Q),
    ('1_RawMaterial'!D:D=A5)*('1_RawMaterial'!C:C=B5)
  )
)</f>
        <v>1.0605541163682232E-3</v>
      </c>
      <c r="F5" s="165" t="s">
        <v>9</v>
      </c>
      <c r="G5" s="161" t="s">
        <v>135</v>
      </c>
      <c r="H5" s="1" t="s">
        <v>25</v>
      </c>
      <c r="I5" s="162" cm="1">
        <f t="array" ref="I5">IFERROR(_xlfn.LET(_xlpm.col,_xlfn.SWITCH($F5,"Moisture",'4_BreadComposition'!$K$2:$K$99,"Ash",'4_BreadComposition'!$M$2:$M$99,"Protein",'4_BreadComposition'!$O$2:$O$99,"Fibre",'4_BreadComposition'!$P$2:$P$99),_xlpm.f,_xlfn._xlws.FILTER(_xlpm.col,(TRIM('4_BreadComposition'!$D$2:$D$99)=TRIM($H5))*('4_BreadComposition'!$E$2:$E$99=$F5)*('4_BreadComposition'!$B$2:$B$99=$G5)*ISNUMBER(_xlpm.col)),AVERAGE(_xlpm.f)),"")</f>
        <v>8.8480201281974702E-2</v>
      </c>
      <c r="J5" s="166" t="str" cm="1">
        <f t="array" ref="J5">IFERROR(_xlfn.LET(_xlpm.col,_xlfn.SWITCH($F5,"Moisture",'4_BreadComposition'!$K$2:$K$99,"Ash",'4_BreadComposition'!$M$2:$M$99,"Protein",'4_BreadComposition'!$O$2:$O$99,"Fibre",'4_BreadComposition'!$P$2:$P$99),_xlpm.f,_xlfn._xlws.FILTER(_xlpm.col,(TRIM('4_BreadComposition'!$D$2:$D$99)=TRIM($H5))*('4_BreadComposition'!$E$2:$E$99=$F5)*('4_BreadComposition'!$B$2:$B$99=$G5)*ISNUMBER(_xlpm.col)),_xlfn.STDEV.S(_xlpm.f)),"")</f>
        <v/>
      </c>
      <c r="K5" s="160"/>
      <c r="L5" s="113" t="s">
        <v>14</v>
      </c>
      <c r="M5" s="106">
        <v>1</v>
      </c>
      <c r="N5" s="92">
        <f>AVERAGEIFS('5_Sensorial'!$N:$N, '5_Sensorial'!$B:$B, L5, '5_Sensorial'!$C:$C, M5)</f>
        <v>54.625</v>
      </c>
      <c r="O5" s="93" cm="1">
        <f t="array" ref="O5">_xlfn.STDEV.S(IF(('5_Sensorial'!$B:$B=$L5)*('5_Sensorial'!$C:$C=$M5),'5_Sensorial'!$N:$N)) /
AVERAGEIFS('5_Sensorial'!$N:$N,'5_Sensorial'!$B:$B,$L5,'5_Sensorial'!$C:$C,$M5) * 100</f>
        <v>33.373318338073311</v>
      </c>
      <c r="Q5" s="246" t="s">
        <v>18</v>
      </c>
      <c r="R5" s="241">
        <f>AVERAGEIF('6_BreadCrumbPorosity'!$B$2:$B$28,$Q5,'6_BreadCrumbPorosity'!D$2:D$28)</f>
        <v>19.66333333333333</v>
      </c>
      <c r="S5" s="241" cm="1">
        <f t="array" ref="S5">STDEV(IF('6_BreadCrumbPorosity'!$B$2:$B$28=$Q5,'6_BreadCrumbPorosity'!D$2:D$28))</f>
        <v>5.4096333825254241</v>
      </c>
      <c r="T5" s="241">
        <f>AVERAGEIF('6_BreadCrumbPorosity'!$B$2:$B$28,$Q5,'6_BreadCrumbPorosity'!E$2:E$28)</f>
        <v>29.49666666666667</v>
      </c>
      <c r="U5" s="241" cm="1">
        <f t="array" ref="U5">STDEV(IF('6_BreadCrumbPorosity'!$B$2:$B$28=$Q5,'6_BreadCrumbPorosity'!E$2:E$28))</f>
        <v>8.1188073836822223</v>
      </c>
      <c r="V5" s="242">
        <f>AVERAGEIF('6_BreadCrumbPorosity'!$B$2:$B$28,$Q5,'6_BreadCrumbPorosity'!F$2:F$28)</f>
        <v>386.66666666666669</v>
      </c>
      <c r="W5" s="242" cm="1">
        <f t="array" ref="W5">STDEV(IF('6_BreadCrumbPorosity'!$B$2:$B$28=$Q5,'6_BreadCrumbPorosity'!F$2:F$28))</f>
        <v>96.173454410940977</v>
      </c>
      <c r="X5" s="243">
        <f>AVERAGEIF('6_BreadCrumbPorosity'!$B$2:$B$28,$Q5,'6_BreadCrumbPorosity'!G$2:G$28)</f>
        <v>6.0316666666666663</v>
      </c>
      <c r="Y5" s="243" cm="1">
        <f t="array" ref="Y5">STDEV(IF('6_BreadCrumbPorosity'!$B$2:$B$28=$Q5,'6_BreadCrumbPorosity'!G$2:G$28))</f>
        <v>1.5314311389459663</v>
      </c>
      <c r="Z5" s="243">
        <f>AVERAGEIF('6_BreadCrumbPorosity'!$B$2:$B$28,$Q5,'6_BreadCrumbPorosity'!H$2:H$28)</f>
        <v>3.2995999999999999</v>
      </c>
      <c r="AA5" s="247" cm="1">
        <f t="array" ref="AA5">STDEV(IF('6_BreadCrumbPorosity'!$B$2:$B$28=$Q5,'6_BreadCrumbPorosity'!H$2:H$28))</f>
        <v>0.61215824751448245</v>
      </c>
    </row>
    <row r="6" spans="1:27" thickBot="1" x14ac:dyDescent="0.4">
      <c r="A6" s="69" t="s">
        <v>9</v>
      </c>
      <c r="B6" s="8" t="s">
        <v>15</v>
      </c>
      <c r="C6" s="20" cm="1">
        <f t="array" ref="C6">AVERAGEIFS(
  _xlfn.SWITCH(A6,"Moisture",'1_RawMaterial'!K:K,"Ash",'1_RawMaterial'!L:L,"Protein",'1_RawMaterial'!N:N,"Gluten",'1_RawMaterial'!P:P,"Fibre",'1_RawMaterial'!Q:Q),
  '1_RawMaterial'!D:D, A6,
  '1_RawMaterial'!C:C, B6
)</f>
        <v>0.106799472105579</v>
      </c>
      <c r="D6" s="86" cm="1">
        <f t="array" ref="D6">_xlfn.STDEV.S(
  _xlfn._xlws.FILTER(
    _xlfn.SWITCH(A6,"Moisture",'1_RawMaterial'!K:K,"Ash",'1_RawMaterial'!L:L,"Protein",'1_RawMaterial'!N:N,"Gluten",'1_RawMaterial'!P:P,"Fibre",'1_RawMaterial'!Q:Q),
    ('1_RawMaterial'!D:D=A6)*('1_RawMaterial'!C:C=B6)
  )
)</f>
        <v>2.1503511702564938E-3</v>
      </c>
      <c r="F6" s="165" t="s">
        <v>9</v>
      </c>
      <c r="G6" s="161" t="s">
        <v>135</v>
      </c>
      <c r="H6" s="1" t="s">
        <v>16</v>
      </c>
      <c r="I6" s="162" cm="1">
        <f t="array" ref="I6">IFERROR(_xlfn.LET(_xlpm.col,_xlfn.SWITCH($F6,"Moisture",'4_BreadComposition'!$K$2:$K$99,"Ash",'4_BreadComposition'!$M$2:$M$99,"Protein",'4_BreadComposition'!$O$2:$O$99,"Fibre",'4_BreadComposition'!$P$2:$P$99),_xlpm.f,_xlfn._xlws.FILTER(_xlpm.col,(TRIM('4_BreadComposition'!$D$2:$D$99)=TRIM($H6))*('4_BreadComposition'!$E$2:$E$99=$F6)*('4_BreadComposition'!$B$2:$B$99=$G6)*ISNUMBER(_xlpm.col)),AVERAGE(_xlpm.f)),"")</f>
        <v>8.8792982876780377E-2</v>
      </c>
      <c r="J6" s="166" t="str" cm="1">
        <f t="array" ref="J6">IFERROR(_xlfn.LET(_xlpm.col,_xlfn.SWITCH($F6,"Moisture",'4_BreadComposition'!$K$2:$K$99,"Ash",'4_BreadComposition'!$M$2:$M$99,"Protein",'4_BreadComposition'!$O$2:$O$99,"Fibre",'4_BreadComposition'!$P$2:$P$99),_xlpm.f,_xlfn._xlws.FILTER(_xlpm.col,(TRIM('4_BreadComposition'!$D$2:$D$99)=TRIM($H6))*('4_BreadComposition'!$E$2:$E$99=$F6)*('4_BreadComposition'!$B$2:$B$99=$G6)*ISNUMBER(_xlpm.col)),_xlfn.STDEV.S(_xlpm.f)),"")</f>
        <v/>
      </c>
      <c r="K6" s="160"/>
      <c r="L6" s="112" t="s">
        <v>16</v>
      </c>
      <c r="M6" s="107">
        <v>1</v>
      </c>
      <c r="N6" s="92">
        <f>AVERAGEIFS('5_Sensorial'!$N:$N, '5_Sensorial'!$B:$B, L6, '5_Sensorial'!$C:$C, M6)</f>
        <v>65.25</v>
      </c>
      <c r="O6" s="93" cm="1">
        <f t="array" ref="O6">_xlfn.STDEV.S(IF(('5_Sensorial'!$B:$B=$L6)*('5_Sensorial'!$C:$C=$M6),'5_Sensorial'!$N:$N)) /
AVERAGEIFS('5_Sensorial'!$N:$N,'5_Sensorial'!$B:$B,$L6,'5_Sensorial'!$C:$C,$M6) * 100</f>
        <v>16.68820054748506</v>
      </c>
      <c r="Q6" s="246" t="s">
        <v>20</v>
      </c>
      <c r="R6" s="241">
        <f>AVERAGEIF('6_BreadCrumbPorosity'!$B$2:$B$28,$Q6,'6_BreadCrumbPorosity'!D$2:D$28)</f>
        <v>27.823333333333334</v>
      </c>
      <c r="S6" s="241" cm="1">
        <f t="array" ref="S6">STDEV(IF('6_BreadCrumbPorosity'!$B$2:$B$28=$Q6,'6_BreadCrumbPorosity'!D$2:D$28))</f>
        <v>1.8283963829906609</v>
      </c>
      <c r="T6" s="241">
        <f>AVERAGEIF('6_BreadCrumbPorosity'!$B$2:$B$28,$Q6,'6_BreadCrumbPorosity'!E$2:E$28)</f>
        <v>41.733333333333334</v>
      </c>
      <c r="U6" s="241" cm="1">
        <f t="array" ref="U6">STDEV(IF('6_BreadCrumbPorosity'!$B$2:$B$28=$Q6,'6_BreadCrumbPorosity'!E$2:E$28))</f>
        <v>2.7452929412602436</v>
      </c>
      <c r="V6" s="242">
        <f>AVERAGEIF('6_BreadCrumbPorosity'!$B$2:$B$28,$Q6,'6_BreadCrumbPorosity'!F$2:F$28)</f>
        <v>640.33333333333337</v>
      </c>
      <c r="W6" s="242" cm="1">
        <f t="array" ref="W6">STDEV(IF('6_BreadCrumbPorosity'!$B$2:$B$28=$Q6,'6_BreadCrumbPorosity'!F$2:F$28))</f>
        <v>57.352709904008314</v>
      </c>
      <c r="X6" s="243">
        <f>AVERAGEIF('6_BreadCrumbPorosity'!$B$2:$B$28,$Q6,'6_BreadCrumbPorosity'!G$2:G$28)</f>
        <v>8.1276666666666681</v>
      </c>
      <c r="Y6" s="243" cm="1">
        <f t="array" ref="Y6">STDEV(IF('6_BreadCrumbPorosity'!$B$2:$B$28=$Q6,'6_BreadCrumbPorosity'!G$2:G$28))</f>
        <v>0.47510454989752859</v>
      </c>
      <c r="Z6" s="243">
        <f>AVERAGEIF('6_BreadCrumbPorosity'!$B$2:$B$28,$Q6,'6_BreadCrumbPorosity'!H$2:H$28)</f>
        <v>3.4394666666666667</v>
      </c>
      <c r="AA6" s="247" cm="1">
        <f t="array" ref="AA6">STDEV(IF('6_BreadCrumbPorosity'!$B$2:$B$28=$Q6,'6_BreadCrumbPorosity'!H$2:H$28))</f>
        <v>0.42234325297479691</v>
      </c>
    </row>
    <row r="7" spans="1:27" thickBot="1" x14ac:dyDescent="0.4">
      <c r="A7" s="61" t="s">
        <v>17</v>
      </c>
      <c r="B7" s="62" t="s">
        <v>10</v>
      </c>
      <c r="C7" s="63" cm="1">
        <f t="array" ref="C7">AVERAGEIFS(
  _xlfn.SWITCH(A7,"Moisture",'1_RawMaterial'!K:K,"Ash",'1_RawMaterial'!L:L,"Protein",'1_RawMaterial'!N:N,"Gluten",'1_RawMaterial'!P:P,"Fibre",'1_RawMaterial'!Q:Q),
  '1_RawMaterial'!D:D, A7,
  '1_RawMaterial'!C:C, B7
)</f>
        <v>6.6165097122162422E-3</v>
      </c>
      <c r="D7" s="70" cm="1">
        <f t="array" ref="D7">_xlfn.STDEV.S(
  _xlfn._xlws.FILTER(
    _xlfn.SWITCH(A7,"Moisture",'1_RawMaterial'!K:K,"Ash",'1_RawMaterial'!L:L,"Protein",'1_RawMaterial'!N:N,"Gluten",'1_RawMaterial'!P:P,"Fibre",'1_RawMaterial'!Q:Q),
    ('1_RawMaterial'!D:D=A7)*('1_RawMaterial'!C:C=B7)
  )
)</f>
        <v>4.4969073661511356E-4</v>
      </c>
      <c r="F7" s="165" t="s">
        <v>9</v>
      </c>
      <c r="G7" s="161" t="s">
        <v>135</v>
      </c>
      <c r="H7" s="1" t="s">
        <v>18</v>
      </c>
      <c r="I7" s="162" cm="1">
        <f t="array" ref="I7">IFERROR(_xlfn.LET(_xlpm.col,_xlfn.SWITCH($F7,"Moisture",'4_BreadComposition'!$K$2:$K$99,"Ash",'4_BreadComposition'!$M$2:$M$99,"Protein",'4_BreadComposition'!$O$2:$O$99,"Fibre",'4_BreadComposition'!$P$2:$P$99),_xlpm.f,_xlfn._xlws.FILTER(_xlpm.col,(TRIM('4_BreadComposition'!$D$2:$D$99)=TRIM($H7))*('4_BreadComposition'!$E$2:$E$99=$F7)*('4_BreadComposition'!$B$2:$B$99=$G7)*ISNUMBER(_xlpm.col)),AVERAGE(_xlpm.f)),"")</f>
        <v>8.7746262400447556E-2</v>
      </c>
      <c r="J7" s="166" t="str" cm="1">
        <f t="array" ref="J7">IFERROR(_xlfn.LET(_xlpm.col,_xlfn.SWITCH($F7,"Moisture",'4_BreadComposition'!$K$2:$K$99,"Ash",'4_BreadComposition'!$M$2:$M$99,"Protein",'4_BreadComposition'!$O$2:$O$99,"Fibre",'4_BreadComposition'!$P$2:$P$99),_xlpm.f,_xlfn._xlws.FILTER(_xlpm.col,(TRIM('4_BreadComposition'!$D$2:$D$99)=TRIM($H7))*('4_BreadComposition'!$E$2:$E$99=$F7)*('4_BreadComposition'!$B$2:$B$99=$G7)*ISNUMBER(_xlpm.col)),_xlfn.STDEV.S(_xlpm.f)),"")</f>
        <v/>
      </c>
      <c r="K7" s="160"/>
      <c r="L7" s="120" t="s">
        <v>18</v>
      </c>
      <c r="M7" s="105">
        <v>1</v>
      </c>
      <c r="N7" s="121">
        <f>AVERAGEIFS('5_Sensorial'!$N:$N, '5_Sensorial'!$B:$B, L7, '5_Sensorial'!$C:$C, M7)</f>
        <v>51.5625</v>
      </c>
      <c r="O7" s="122" cm="1">
        <f t="array" ref="O7">_xlfn.STDEV.S(IF(('5_Sensorial'!$B:$B=$L7)*('5_Sensorial'!$C:$C=$M7),'5_Sensorial'!$N:$N)) /
AVERAGEIFS('5_Sensorial'!$N:$N,'5_Sensorial'!$B:$B,$L7,'5_Sensorial'!$C:$C,$M7) * 100</f>
        <v>39.969659226275226</v>
      </c>
      <c r="Q7" s="246" t="s">
        <v>21</v>
      </c>
      <c r="R7" s="241">
        <f>AVERAGEIF('6_BreadCrumbPorosity'!$B$2:$B$28,$Q7,'6_BreadCrumbPorosity'!D$2:D$28)</f>
        <v>22.756666666666664</v>
      </c>
      <c r="S7" s="241" cm="1">
        <f t="array" ref="S7">STDEV(IF('6_BreadCrumbPorosity'!$B$2:$B$28=$Q7,'6_BreadCrumbPorosity'!D$2:D$28))</f>
        <v>0.80407296517998628</v>
      </c>
      <c r="T7" s="241">
        <f>AVERAGEIF('6_BreadCrumbPorosity'!$B$2:$B$28,$Q7,'6_BreadCrumbPorosity'!E$2:E$28)</f>
        <v>34.136666666666663</v>
      </c>
      <c r="U7" s="241" cm="1">
        <f t="array" ref="U7">STDEV(IF('6_BreadCrumbPorosity'!$B$2:$B$28=$Q7,'6_BreadCrumbPorosity'!E$2:E$28))</f>
        <v>1.203550303615653</v>
      </c>
      <c r="V7" s="242">
        <f>AVERAGEIF('6_BreadCrumbPorosity'!$B$2:$B$28,$Q7,'6_BreadCrumbPorosity'!F$2:F$28)</f>
        <v>585.33333333333337</v>
      </c>
      <c r="W7" s="242" cm="1">
        <f t="array" ref="W7">STDEV(IF('6_BreadCrumbPorosity'!$B$2:$B$28=$Q7,'6_BreadCrumbPorosity'!F$2:F$28))</f>
        <v>21.548395145191982</v>
      </c>
      <c r="X7" s="243">
        <f>AVERAGEIF('6_BreadCrumbPorosity'!$B$2:$B$28,$Q7,'6_BreadCrumbPorosity'!G$2:G$28)</f>
        <v>9.729000000000001</v>
      </c>
      <c r="Y7" s="243" cm="1">
        <f t="array" ref="Y7">STDEV(IF('6_BreadCrumbPorosity'!$B$2:$B$28=$Q7,'6_BreadCrumbPorosity'!G$2:G$28))</f>
        <v>0.21017373765530237</v>
      </c>
      <c r="Z7" s="243">
        <f>AVERAGEIF('6_BreadCrumbPorosity'!$B$2:$B$28,$Q7,'6_BreadCrumbPorosity'!H$2:H$28)</f>
        <v>2.3410333333333333</v>
      </c>
      <c r="AA7" s="247" cm="1">
        <f t="array" ref="AA7">STDEV(IF('6_BreadCrumbPorosity'!$B$2:$B$28=$Q7,'6_BreadCrumbPorosity'!H$2:H$28))</f>
        <v>0.13050909291437646</v>
      </c>
    </row>
    <row r="8" spans="1:27" ht="14.5" x14ac:dyDescent="0.35">
      <c r="A8" s="64" t="s">
        <v>17</v>
      </c>
      <c r="B8" s="1" t="s">
        <v>11</v>
      </c>
      <c r="C8" s="19" cm="1">
        <f t="array" ref="C8">AVERAGEIFS(
  _xlfn.SWITCH(A8,"Moisture",'1_RawMaterial'!K:K,"Ash",'1_RawMaterial'!L:L,"Protein",'1_RawMaterial'!N:N,"Gluten",'1_RawMaterial'!P:P,"Fibre",'1_RawMaterial'!Q:Q),
  '1_RawMaterial'!D:D, A8,
  '1_RawMaterial'!C:C, B8
)</f>
        <v>4.0405881257140085E-2</v>
      </c>
      <c r="D8" s="71" cm="1">
        <f t="array" ref="D8">_xlfn.STDEV.S(
  _xlfn._xlws.FILTER(
    _xlfn.SWITCH(A8,"Moisture",'1_RawMaterial'!K:K,"Ash",'1_RawMaterial'!L:L,"Protein",'1_RawMaterial'!N:N,"Gluten",'1_RawMaterial'!P:P,"Fibre",'1_RawMaterial'!Q:Q),
    ('1_RawMaterial'!D:D=A8)*('1_RawMaterial'!C:C=B8)
  )
)</f>
        <v>4.4581066039865535E-4</v>
      </c>
      <c r="F8" s="165" t="s">
        <v>9</v>
      </c>
      <c r="G8" s="161" t="s">
        <v>136</v>
      </c>
      <c r="H8" s="1" t="s">
        <v>10</v>
      </c>
      <c r="I8" s="162" cm="1">
        <f t="array" ref="I8">IFERROR(_xlfn.LET(_xlpm.col,_xlfn.SWITCH($F8,"Moisture",'4_BreadComposition'!$K$2:$K$99,"Ash",'4_BreadComposition'!$M$2:$M$99,"Protein",'4_BreadComposition'!$O$2:$O$99,"Fibre",'4_BreadComposition'!$P$2:$P$99),_xlpm.f,_xlfn._xlws.FILTER(_xlpm.col,(TRIM('4_BreadComposition'!$D$2:$D$99)=TRIM($H8))*('4_BreadComposition'!$E$2:$E$99=$F8)*('4_BreadComposition'!$B$2:$B$99=$G8)*ISNUMBER(_xlpm.col)),AVERAGE(_xlpm.f)),"")</f>
        <v>8.6900000000000005E-2</v>
      </c>
      <c r="J8" s="166" t="str" cm="1">
        <f t="array" ref="J8">IFERROR(_xlfn.LET(_xlpm.col,_xlfn.SWITCH($F8,"Moisture",'4_BreadComposition'!$K$2:$K$99,"Ash",'4_BreadComposition'!$M$2:$M$99,"Protein",'4_BreadComposition'!$O$2:$O$99,"Fibre",'4_BreadComposition'!$P$2:$P$99),_xlpm.f,_xlfn._xlws.FILTER(_xlpm.col,(TRIM('4_BreadComposition'!$D$2:$D$99)=TRIM($H8))*('4_BreadComposition'!$E$2:$E$99=$F8)*('4_BreadComposition'!$B$2:$B$99=$G8)*ISNUMBER(_xlpm.col)),_xlfn.STDEV.S(_xlpm.f)),"")</f>
        <v/>
      </c>
      <c r="K8" s="160"/>
      <c r="L8" s="117" t="s">
        <v>10</v>
      </c>
      <c r="M8" s="102">
        <v>2</v>
      </c>
      <c r="N8" s="110">
        <f>AVERAGEIFS('5_Sensorial'!$N:$N, '5_Sensorial'!$B:$B, L8, '5_Sensorial'!$C:$C, M8)</f>
        <v>85.9375</v>
      </c>
      <c r="O8" s="111" cm="1">
        <f t="array" ref="O8">_xlfn.STDEV.S(IF(('5_Sensorial'!$B:$B=$L8)*('5_Sensorial'!$C:$C=$M8),'5_Sensorial'!$N:$N)) /
AVERAGEIFS('5_Sensorial'!$N:$N,'5_Sensorial'!$B:$B,$L8,'5_Sensorial'!$C:$C,$M8) * 100</f>
        <v>15.764213054356393</v>
      </c>
      <c r="Q8" s="246" t="s">
        <v>22</v>
      </c>
      <c r="R8" s="241">
        <f>AVERAGEIF('6_BreadCrumbPorosity'!$B$2:$B$28,$Q8,'6_BreadCrumbPorosity'!D$2:D$28)</f>
        <v>24.900000000000002</v>
      </c>
      <c r="S8" s="241" cm="1">
        <f t="array" ref="S8">STDEV(IF('6_BreadCrumbPorosity'!$B$2:$B$28=$Q8,'6_BreadCrumbPorosity'!D$2:D$28))</f>
        <v>2.6303421830628801</v>
      </c>
      <c r="T8" s="241">
        <f>AVERAGEIF('6_BreadCrumbPorosity'!$B$2:$B$28,$Q8,'6_BreadCrumbPorosity'!E$2:E$28)</f>
        <v>37.353333333333332</v>
      </c>
      <c r="U8" s="241" cm="1">
        <f t="array" ref="U8">STDEV(IF('6_BreadCrumbPorosity'!$B$2:$B$28=$Q8,'6_BreadCrumbPorosity'!E$2:E$28))</f>
        <v>3.9513331083740981</v>
      </c>
      <c r="V8" s="242">
        <f>AVERAGEIF('6_BreadCrumbPorosity'!$B$2:$B$28,$Q8,'6_BreadCrumbPorosity'!F$2:F$28)</f>
        <v>506</v>
      </c>
      <c r="W8" s="242" cm="1">
        <f t="array" ref="W8">STDEV(IF('6_BreadCrumbPorosity'!$B$2:$B$28=$Q8,'6_BreadCrumbPorosity'!F$2:F$28))</f>
        <v>142.20056258679148</v>
      </c>
      <c r="X8" s="243">
        <f>AVERAGEIF('6_BreadCrumbPorosity'!$B$2:$B$28,$Q8,'6_BreadCrumbPorosity'!G$2:G$28)</f>
        <v>5.1096666666666666</v>
      </c>
      <c r="Y8" s="243" cm="1">
        <f t="array" ref="Y8">STDEV(IF('6_BreadCrumbPorosity'!$B$2:$B$28=$Q8,'6_BreadCrumbPorosity'!G$2:G$28))</f>
        <v>0.13969371257624064</v>
      </c>
      <c r="Z8" s="243">
        <f>AVERAGEIF('6_BreadCrumbPorosity'!$B$2:$B$28,$Q8,'6_BreadCrumbPorosity'!H$2:H$28)</f>
        <v>4.8789000000000007</v>
      </c>
      <c r="AA8" s="247" cm="1">
        <f t="array" ref="AA8">STDEV(IF('6_BreadCrumbPorosity'!$B$2:$B$28=$Q8,'6_BreadCrumbPorosity'!H$2:H$28))</f>
        <v>0.56915728054730164</v>
      </c>
    </row>
    <row r="9" spans="1:27" ht="14.5" x14ac:dyDescent="0.35">
      <c r="A9" s="64" t="s">
        <v>17</v>
      </c>
      <c r="B9" s="1" t="s">
        <v>13</v>
      </c>
      <c r="C9" s="19" cm="1">
        <f t="array" ref="C9">AVERAGEIFS(
  _xlfn.SWITCH(A9,"Moisture",'1_RawMaterial'!K:K,"Ash",'1_RawMaterial'!L:L,"Protein",'1_RawMaterial'!N:N,"Gluten",'1_RawMaterial'!P:P,"Fibre",'1_RawMaterial'!Q:Q),
  '1_RawMaterial'!D:D, A9,
  '1_RawMaterial'!C:C, B9
)</f>
        <v>1.011447339104754E-2</v>
      </c>
      <c r="D9" s="71" cm="1">
        <f t="array" ref="D9">_xlfn.STDEV.S(
  _xlfn._xlws.FILTER(
    _xlfn.SWITCH(A9,"Moisture",'1_RawMaterial'!K:K,"Ash",'1_RawMaterial'!L:L,"Protein",'1_RawMaterial'!N:N,"Gluten",'1_RawMaterial'!P:P,"Fibre",'1_RawMaterial'!Q:Q),
    ('1_RawMaterial'!D:D=A9)*('1_RawMaterial'!C:C=B9)
  )
)</f>
        <v>2.189667879072032E-5</v>
      </c>
      <c r="F9" s="165" t="s">
        <v>9</v>
      </c>
      <c r="G9" s="161" t="s">
        <v>136</v>
      </c>
      <c r="H9" s="1" t="s">
        <v>16</v>
      </c>
      <c r="I9" s="162" cm="1">
        <f t="array" ref="I9">IFERROR(_xlfn.LET(_xlpm.col,_xlfn.SWITCH($F9,"Moisture",'4_BreadComposition'!$K$2:$K$99,"Ash",'4_BreadComposition'!$M$2:$M$99,"Protein",'4_BreadComposition'!$O$2:$O$99,"Fibre",'4_BreadComposition'!$P$2:$P$99),_xlpm.f,_xlfn._xlws.FILTER(_xlpm.col,(TRIM('4_BreadComposition'!$D$2:$D$99)=TRIM($H9))*('4_BreadComposition'!$E$2:$E$99=$F9)*('4_BreadComposition'!$B$2:$B$99=$G9)*ISNUMBER(_xlpm.col)),AVERAGE(_xlpm.f)),"")</f>
        <v>8.7400000000000005E-2</v>
      </c>
      <c r="J9" s="166" t="str" cm="1">
        <f t="array" ref="J9">IFERROR(_xlfn.LET(_xlpm.col,_xlfn.SWITCH($F9,"Moisture",'4_BreadComposition'!$K$2:$K$99,"Ash",'4_BreadComposition'!$M$2:$M$99,"Protein",'4_BreadComposition'!$O$2:$O$99,"Fibre",'4_BreadComposition'!$P$2:$P$99),_xlpm.f,_xlfn._xlws.FILTER(_xlpm.col,(TRIM('4_BreadComposition'!$D$2:$D$99)=TRIM($H9))*('4_BreadComposition'!$E$2:$E$99=$F9)*('4_BreadComposition'!$B$2:$B$99=$G9)*ISNUMBER(_xlpm.col)),_xlfn.STDEV.S(_xlpm.f)),"")</f>
        <v/>
      </c>
      <c r="K9" s="160"/>
      <c r="L9" s="118" t="s">
        <v>16</v>
      </c>
      <c r="M9" s="100">
        <v>2</v>
      </c>
      <c r="N9" s="92">
        <f>AVERAGEIFS('5_Sensorial'!$N:$N, '5_Sensorial'!$B:$B, L9, '5_Sensorial'!$C:$C, M9)</f>
        <v>81.75</v>
      </c>
      <c r="O9" s="93" cm="1">
        <f t="array" ref="O9">_xlfn.STDEV.S(IF(('5_Sensorial'!$B:$B=$L9)*('5_Sensorial'!$C:$C=$M9),'5_Sensorial'!$N:$N)) /
AVERAGEIFS('5_Sensorial'!$N:$N,'5_Sensorial'!$B:$B,$L9,'5_Sensorial'!$C:$C,$M9) * 100</f>
        <v>13.089256611029171</v>
      </c>
      <c r="Q9" s="246" t="s">
        <v>23</v>
      </c>
      <c r="R9" s="241">
        <f>AVERAGEIF('6_BreadCrumbPorosity'!$B$2:$B$28,$Q9,'6_BreadCrumbPorosity'!D$2:D$28)</f>
        <v>19.386666666666667</v>
      </c>
      <c r="S9" s="241" cm="1">
        <f t="array" ref="S9">STDEV(IF('6_BreadCrumbPorosity'!$B$2:$B$28=$Q9,'6_BreadCrumbPorosity'!D$2:D$28))</f>
        <v>2.7274591350436999</v>
      </c>
      <c r="T9" s="241">
        <f>AVERAGEIF('6_BreadCrumbPorosity'!$B$2:$B$28,$Q9,'6_BreadCrumbPorosity'!E$2:E$28)</f>
        <v>29.076666666666664</v>
      </c>
      <c r="U9" s="241" cm="1">
        <f t="array" ref="U9">STDEV(IF('6_BreadCrumbPorosity'!$B$2:$B$28=$Q9,'6_BreadCrumbPorosity'!E$2:E$28))</f>
        <v>4.0885245912594925</v>
      </c>
      <c r="V9" s="242">
        <f>AVERAGEIF('6_BreadCrumbPorosity'!$B$2:$B$28,$Q9,'6_BreadCrumbPorosity'!F$2:F$28)</f>
        <v>565.66666666666663</v>
      </c>
      <c r="W9" s="242" cm="1">
        <f t="array" ref="W9">STDEV(IF('6_BreadCrumbPorosity'!$B$2:$B$28=$Q9,'6_BreadCrumbPorosity'!F$2:F$28))</f>
        <v>17.7857620959388</v>
      </c>
      <c r="X9" s="243">
        <f>AVERAGEIF('6_BreadCrumbPorosity'!$B$2:$B$28,$Q9,'6_BreadCrumbPorosity'!G$2:G$28)</f>
        <v>7.4269999999999996</v>
      </c>
      <c r="Y9" s="243" cm="1">
        <f t="array" ref="Y9">STDEV(IF('6_BreadCrumbPorosity'!$B$2:$B$28=$Q9,'6_BreadCrumbPorosity'!G$2:G$28))</f>
        <v>0.22260278524762439</v>
      </c>
      <c r="Z9" s="243">
        <f>AVERAGEIF('6_BreadCrumbPorosity'!$B$2:$B$28,$Q9,'6_BreadCrumbPorosity'!H$2:H$28)</f>
        <v>2.6173999999999999</v>
      </c>
      <c r="AA9" s="247" cm="1">
        <f t="array" ref="AA9">STDEV(IF('6_BreadCrumbPorosity'!$B$2:$B$28=$Q9,'6_BreadCrumbPorosity'!H$2:H$28))</f>
        <v>0.43246915496946137</v>
      </c>
    </row>
    <row r="10" spans="1:27" thickBot="1" x14ac:dyDescent="0.4">
      <c r="A10" s="69" t="s">
        <v>17</v>
      </c>
      <c r="B10" s="8" t="s">
        <v>15</v>
      </c>
      <c r="C10" s="20" cm="1">
        <f t="array" ref="C10">AVERAGEIFS(
  _xlfn.SWITCH(A10,"Moisture",'1_RawMaterial'!K:K,"Ash",'1_RawMaterial'!L:L,"Protein",'1_RawMaterial'!N:N,"Gluten",'1_RawMaterial'!P:P,"Fibre",'1_RawMaterial'!Q:Q),
  '1_RawMaterial'!D:D, A10,
  '1_RawMaterial'!C:C, B10
)</f>
        <v>1.3383998459329895E-2</v>
      </c>
      <c r="D10" s="86" cm="1">
        <f t="array" ref="D10">_xlfn.STDEV.S(
  _xlfn._xlws.FILTER(
    _xlfn.SWITCH(A10,"Moisture",'1_RawMaterial'!K:K,"Ash",'1_RawMaterial'!L:L,"Protein",'1_RawMaterial'!N:N,"Gluten",'1_RawMaterial'!P:P,"Fibre",'1_RawMaterial'!Q:Q),
    ('1_RawMaterial'!D:D=A10)*('1_RawMaterial'!C:C=B10)
  )
)</f>
        <v>6.9136815614587624E-5</v>
      </c>
      <c r="F10" s="165" t="s">
        <v>9</v>
      </c>
      <c r="G10" s="161" t="s">
        <v>136</v>
      </c>
      <c r="H10" s="1" t="s">
        <v>18</v>
      </c>
      <c r="I10" s="162" cm="1">
        <f t="array" ref="I10">IFERROR(_xlfn.LET(_xlpm.col,_xlfn.SWITCH($F10,"Moisture",'4_BreadComposition'!$K$2:$K$99,"Ash",'4_BreadComposition'!$M$2:$M$99,"Protein",'4_BreadComposition'!$O$2:$O$99,"Fibre",'4_BreadComposition'!$P$2:$P$99),_xlpm.f,_xlfn._xlws.FILTER(_xlpm.col,(TRIM('4_BreadComposition'!$D$2:$D$99)=TRIM($H10))*('4_BreadComposition'!$E$2:$E$99=$F10)*('4_BreadComposition'!$B$2:$B$99=$G10)*ISNUMBER(_xlpm.col)),AVERAGE(_xlpm.f)),"")</f>
        <v>8.6300000000000002E-2</v>
      </c>
      <c r="J10" s="166" t="str" cm="1">
        <f t="array" ref="J10">IFERROR(_xlfn.LET(_xlpm.col,_xlfn.SWITCH($F10,"Moisture",'4_BreadComposition'!$K$2:$K$99,"Ash",'4_BreadComposition'!$M$2:$M$99,"Protein",'4_BreadComposition'!$O$2:$O$99,"Fibre",'4_BreadComposition'!$P$2:$P$99),_xlpm.f,_xlfn._xlws.FILTER(_xlpm.col,(TRIM('4_BreadComposition'!$D$2:$D$99)=TRIM($H10))*('4_BreadComposition'!$E$2:$E$99=$F10)*('4_BreadComposition'!$B$2:$B$99=$G10)*ISNUMBER(_xlpm.col)),_xlfn.STDEV.S(_xlpm.f)),"")</f>
        <v/>
      </c>
      <c r="K10" s="160"/>
      <c r="L10" s="118" t="s">
        <v>18</v>
      </c>
      <c r="M10" s="100">
        <v>2</v>
      </c>
      <c r="N10" s="92">
        <f>AVERAGEIFS('5_Sensorial'!$N:$N, '5_Sensorial'!$B:$B, L10, '5_Sensorial'!$C:$C, M10)</f>
        <v>56.8125</v>
      </c>
      <c r="O10" s="93" cm="1">
        <f t="array" ref="O10">_xlfn.STDEV.S(IF(('5_Sensorial'!$B:$B=$L10)*('5_Sensorial'!$C:$C=$M10),'5_Sensorial'!$N:$N)) /
AVERAGEIFS('5_Sensorial'!$N:$N,'5_Sensorial'!$B:$B,$L10,'5_Sensorial'!$C:$C,$M10) * 100</f>
        <v>22.511472114882238</v>
      </c>
      <c r="Q10" s="246" t="s">
        <v>26</v>
      </c>
      <c r="R10" s="241">
        <f>AVERAGEIF('6_BreadCrumbPorosity'!$B$2:$B$28,$Q10,'6_BreadCrumbPorosity'!D$2:D$28)</f>
        <v>16.200000000000003</v>
      </c>
      <c r="S10" s="241" cm="1">
        <f t="array" ref="S10">STDEV(IF('6_BreadCrumbPorosity'!$B$2:$B$28=$Q10,'6_BreadCrumbPorosity'!D$2:D$28))</f>
        <v>1.0991360243391177</v>
      </c>
      <c r="T10" s="241">
        <f>AVERAGEIF('6_BreadCrumbPorosity'!$B$2:$B$28,$Q10,'6_BreadCrumbPorosity'!E$2:E$28)</f>
        <v>24.299999999999997</v>
      </c>
      <c r="U10" s="241" cm="1">
        <f t="array" ref="U10">STDEV(IF('6_BreadCrumbPorosity'!$B$2:$B$28=$Q10,'6_BreadCrumbPorosity'!E$2:E$28))</f>
        <v>1.6416150584104665</v>
      </c>
      <c r="V10" s="242">
        <f>AVERAGEIF('6_BreadCrumbPorosity'!$B$2:$B$28,$Q10,'6_BreadCrumbPorosity'!F$2:F$28)</f>
        <v>673.33333333333337</v>
      </c>
      <c r="W10" s="242" cm="1">
        <f t="array" ref="W10">STDEV(IF('6_BreadCrumbPorosity'!$B$2:$B$28=$Q10,'6_BreadCrumbPorosity'!F$2:F$28))</f>
        <v>34.961884007206095</v>
      </c>
      <c r="X10" s="243">
        <f>AVERAGEIF('6_BreadCrumbPorosity'!$B$2:$B$28,$Q10,'6_BreadCrumbPorosity'!G$2:G$28)</f>
        <v>9.8780000000000001</v>
      </c>
      <c r="Y10" s="243" cm="1">
        <f t="array" ref="Y10">STDEV(IF('6_BreadCrumbPorosity'!$B$2:$B$28=$Q10,'6_BreadCrumbPorosity'!G$2:G$28))</f>
        <v>0.11781765572273113</v>
      </c>
      <c r="Z10" s="243">
        <f>AVERAGEIF('6_BreadCrumbPorosity'!$B$2:$B$28,$Q10,'6_BreadCrumbPorosity'!H$2:H$28)</f>
        <v>1.6402666666666665</v>
      </c>
      <c r="AA10" s="247" cm="1">
        <f t="array" ref="AA10">STDEV(IF('6_BreadCrumbPorosity'!$B$2:$B$28=$Q10,'6_BreadCrumbPorosity'!H$2:H$28))</f>
        <v>0.11771025160678804</v>
      </c>
    </row>
    <row r="11" spans="1:27" thickBot="1" x14ac:dyDescent="0.4">
      <c r="A11" s="61" t="s">
        <v>19</v>
      </c>
      <c r="B11" s="62" t="s">
        <v>10</v>
      </c>
      <c r="C11" s="63" cm="1">
        <f t="array" ref="C11">AVERAGEIFS(
  _xlfn.SWITCH(A11,"Moisture",'1_RawMaterial'!K:K,"Ash",'1_RawMaterial'!L:L,"Protein",'1_RawMaterial'!N:N,"Gluten",'1_RawMaterial'!P:P,"Fibre",'1_RawMaterial'!Q:Q),
  '1_RawMaterial'!D:D, A11,
  '1_RawMaterial'!C:C, B11
)</f>
        <v>12.9</v>
      </c>
      <c r="D11" s="70" cm="1">
        <f t="array" ref="D11">_xlfn.STDEV.S(
  _xlfn._xlws.FILTER(
    _xlfn.SWITCH(A11,"Moisture",'1_RawMaterial'!K:K,"Ash",'1_RawMaterial'!L:L,"Protein",'1_RawMaterial'!N:N,"Gluten",'1_RawMaterial'!P:P,"Fibre",'1_RawMaterial'!Q:Q),
    ('1_RawMaterial'!D:D=A11)*('1_RawMaterial'!C:C=B11)
  )
)</f>
        <v>0.141421356237309</v>
      </c>
      <c r="F11" s="165" t="s">
        <v>9</v>
      </c>
      <c r="G11" s="161" t="s">
        <v>136</v>
      </c>
      <c r="H11" s="1" t="s">
        <v>20</v>
      </c>
      <c r="I11" s="162" cm="1">
        <f t="array" ref="I11">IFERROR(_xlfn.LET(_xlpm.col,_xlfn.SWITCH($F11,"Moisture",'4_BreadComposition'!$K$2:$K$99,"Ash",'4_BreadComposition'!$M$2:$M$99,"Protein",'4_BreadComposition'!$O$2:$O$99,"Fibre",'4_BreadComposition'!$P$2:$P$99),_xlpm.f,_xlfn._xlws.FILTER(_xlpm.col,(TRIM('4_BreadComposition'!$D$2:$D$99)=TRIM($H11))*('4_BreadComposition'!$E$2:$E$99=$F11)*('4_BreadComposition'!$B$2:$B$99=$G11)*ISNUMBER(_xlpm.col)),AVERAGE(_xlpm.f)),"")</f>
        <v>8.6599999999999996E-2</v>
      </c>
      <c r="J11" s="166" t="str" cm="1">
        <f t="array" ref="J11">IFERROR(_xlfn.LET(_xlpm.col,_xlfn.SWITCH($F11,"Moisture",'4_BreadComposition'!$K$2:$K$99,"Ash",'4_BreadComposition'!$M$2:$M$99,"Protein",'4_BreadComposition'!$O$2:$O$99,"Fibre",'4_BreadComposition'!$P$2:$P$99),_xlpm.f,_xlfn._xlws.FILTER(_xlpm.col,(TRIM('4_BreadComposition'!$D$2:$D$99)=TRIM($H11))*('4_BreadComposition'!$E$2:$E$99=$F11)*('4_BreadComposition'!$B$2:$B$99=$G11)*ISNUMBER(_xlpm.col)),_xlfn.STDEV.S(_xlpm.f)),"")</f>
        <v/>
      </c>
      <c r="K11" s="160"/>
      <c r="L11" s="205" t="s">
        <v>20</v>
      </c>
      <c r="M11" s="206">
        <v>2</v>
      </c>
      <c r="N11" s="207">
        <f>AVERAGEIFS('5_Sensorial'!$N:$N, '5_Sensorial'!$B:$B, L11, '5_Sensorial'!$C:$C, M11)</f>
        <v>85</v>
      </c>
      <c r="O11" s="208" cm="1">
        <f t="array" ref="O11">_xlfn.STDEV.S(IF(('5_Sensorial'!$B:$B=$L11)*('5_Sensorial'!$C:$C=$M11),'5_Sensorial'!$N:$N)) /
AVERAGEIFS('5_Sensorial'!$N:$N,'5_Sensorial'!$B:$B,$L11,'5_Sensorial'!$C:$C,$M11) * 100</f>
        <v>8.0162958102264348</v>
      </c>
      <c r="Q11" s="248" t="s">
        <v>27</v>
      </c>
      <c r="R11" s="249">
        <f>AVERAGEIF('6_BreadCrumbPorosity'!$B$2:$B$28,$Q11,'6_BreadCrumbPorosity'!D$2:D$28)</f>
        <v>22.683333333333334</v>
      </c>
      <c r="S11" s="249" cm="1">
        <f t="array" ref="S11">STDEV(IF('6_BreadCrumbPorosity'!$B$2:$B$28=$Q11,'6_BreadCrumbPorosity'!D$2:D$28))</f>
        <v>2.8309068040706071</v>
      </c>
      <c r="T11" s="249">
        <f>AVERAGEIF('6_BreadCrumbPorosity'!$B$2:$B$28,$Q11,'6_BreadCrumbPorosity'!E$2:E$28)</f>
        <v>34.026666666666664</v>
      </c>
      <c r="U11" s="249" cm="1">
        <f t="array" ref="U11">STDEV(IF('6_BreadCrumbPorosity'!$B$2:$B$28=$Q11,'6_BreadCrumbPorosity'!E$2:E$28))</f>
        <v>4.2508391328458064</v>
      </c>
      <c r="V11" s="250">
        <f>AVERAGEIF('6_BreadCrumbPorosity'!$B$2:$B$28,$Q11,'6_BreadCrumbPorosity'!F$2:F$28)</f>
        <v>676.66666666666663</v>
      </c>
      <c r="W11" s="250" cm="1">
        <f t="array" ref="W11">STDEV(IF('6_BreadCrumbPorosity'!$B$2:$B$28=$Q11,'6_BreadCrumbPorosity'!F$2:F$28))</f>
        <v>18.147543451754931</v>
      </c>
      <c r="X11" s="251">
        <f>AVERAGEIF('6_BreadCrumbPorosity'!$B$2:$B$28,$Q11,'6_BreadCrumbPorosity'!G$2:G$28)</f>
        <v>9.7000000000000011</v>
      </c>
      <c r="Y11" s="251" cm="1">
        <f t="array" ref="Y11">STDEV(IF('6_BreadCrumbPorosity'!$B$2:$B$28=$Q11,'6_BreadCrumbPorosity'!G$2:G$28))</f>
        <v>0.34517966336387834</v>
      </c>
      <c r="Z11" s="251">
        <f>AVERAGEIF('6_BreadCrumbPorosity'!$B$2:$B$28,$Q11,'6_BreadCrumbPorosity'!H$2:H$28)</f>
        <v>2.3468666666666667</v>
      </c>
      <c r="AA11" s="252" cm="1">
        <f t="array" ref="AA11">STDEV(IF('6_BreadCrumbPorosity'!$B$2:$B$28=$Q11,'6_BreadCrumbPorosity'!H$2:H$28))</f>
        <v>0.37339874575757737</v>
      </c>
    </row>
    <row r="12" spans="1:27" ht="14.5" x14ac:dyDescent="0.35">
      <c r="A12" s="64" t="s">
        <v>19</v>
      </c>
      <c r="B12" s="1" t="s">
        <v>11</v>
      </c>
      <c r="C12" s="19" cm="1">
        <f t="array" ref="C12">AVERAGEIFS(
  _xlfn.SWITCH(A12,"Moisture",'1_RawMaterial'!K:K,"Ash",'1_RawMaterial'!L:L,"Protein",'1_RawMaterial'!N:N,"Gluten",'1_RawMaterial'!P:P,"Fibre",'1_RawMaterial'!Q:Q),
  '1_RawMaterial'!D:D, A12,
  '1_RawMaterial'!C:C, B12
)</f>
        <v>23.65</v>
      </c>
      <c r="D12" s="71" cm="1">
        <f t="array" ref="D12">_xlfn.STDEV.S(
  _xlfn._xlws.FILTER(
    _xlfn.SWITCH(A12,"Moisture",'1_RawMaterial'!K:K,"Ash",'1_RawMaterial'!L:L,"Protein",'1_RawMaterial'!N:N,"Gluten",'1_RawMaterial'!P:P,"Fibre",'1_RawMaterial'!Q:Q),
    ('1_RawMaterial'!D:D=A12)*('1_RawMaterial'!C:C=B12)
  )
)</f>
        <v>0.21213203435596475</v>
      </c>
      <c r="F12" s="165" t="s">
        <v>9</v>
      </c>
      <c r="G12" s="161" t="s">
        <v>136</v>
      </c>
      <c r="H12" s="1" t="s">
        <v>21</v>
      </c>
      <c r="I12" s="162" cm="1">
        <f t="array" ref="I12">IFERROR(_xlfn.LET(_xlpm.col,_xlfn.SWITCH($F12,"Moisture",'4_BreadComposition'!$K$2:$K$99,"Ash",'4_BreadComposition'!$M$2:$M$99,"Protein",'4_BreadComposition'!$O$2:$O$99,"Fibre",'4_BreadComposition'!$P$2:$P$99),_xlpm.f,_xlfn._xlws.FILTER(_xlpm.col,(TRIM('4_BreadComposition'!$D$2:$D$99)=TRIM($H12))*('4_BreadComposition'!$E$2:$E$99=$F12)*('4_BreadComposition'!$B$2:$B$99=$G12)*ISNUMBER(_xlpm.col)),AVERAGE(_xlpm.f)),"")</f>
        <v>8.4900000000000003E-2</v>
      </c>
      <c r="J12" s="166" t="str" cm="1">
        <f t="array" ref="J12">IFERROR(_xlfn.LET(_xlpm.col,_xlfn.SWITCH($F12,"Moisture",'4_BreadComposition'!$K$2:$K$99,"Ash",'4_BreadComposition'!$M$2:$M$99,"Protein",'4_BreadComposition'!$O$2:$O$99,"Fibre",'4_BreadComposition'!$P$2:$P$99),_xlpm.f,_xlfn._xlws.FILTER(_xlpm.col,(TRIM('4_BreadComposition'!$D$2:$D$99)=TRIM($H12))*('4_BreadComposition'!$E$2:$E$99=$F12)*('4_BreadComposition'!$B$2:$B$99=$G12)*ISNUMBER(_xlpm.col)),_xlfn.STDEV.S(_xlpm.f)),"")</f>
        <v/>
      </c>
      <c r="K12" s="160"/>
      <c r="L12" s="118" t="s">
        <v>21</v>
      </c>
      <c r="M12" s="100">
        <v>2</v>
      </c>
      <c r="N12" s="92">
        <f>AVERAGEIFS('5_Sensorial'!$N:$N, '5_Sensorial'!$B:$B, L12, '5_Sensorial'!$C:$C, M12)</f>
        <v>62.5</v>
      </c>
      <c r="O12" s="93" cm="1">
        <f t="array" ref="O12">_xlfn.STDEV.S(IF(('5_Sensorial'!$B:$B=$L12)*('5_Sensorial'!$C:$C=$M12),'5_Sensorial'!$N:$N)) /
AVERAGEIFS('5_Sensorial'!$N:$N,'5_Sensorial'!$B:$B,$L12,'5_Sensorial'!$C:$C,$M12) * 100</f>
        <v>14.9176788696212</v>
      </c>
    </row>
    <row r="13" spans="1:27" ht="14.5" x14ac:dyDescent="0.35">
      <c r="A13" s="64" t="s">
        <v>19</v>
      </c>
      <c r="B13" s="1" t="s">
        <v>13</v>
      </c>
      <c r="C13" s="19" cm="1">
        <f t="array" ref="C13">AVERAGEIFS(
  _xlfn.SWITCH(A13,"Moisture",'1_RawMaterial'!K:K,"Ash",'1_RawMaterial'!L:L,"Protein",'1_RawMaterial'!N:N,"Gluten",'1_RawMaterial'!P:P,"Fibre",'1_RawMaterial'!Q:Q),
  '1_RawMaterial'!D:D, A13,
  '1_RawMaterial'!C:C, B13
)</f>
        <v>14.65</v>
      </c>
      <c r="D13" s="71" cm="1">
        <f t="array" ref="D13">_xlfn.STDEV.S(
  _xlfn._xlws.FILTER(
    _xlfn.SWITCH(A13,"Moisture",'1_RawMaterial'!K:K,"Ash",'1_RawMaterial'!L:L,"Protein",'1_RawMaterial'!N:N,"Gluten",'1_RawMaterial'!P:P,"Fibre",'1_RawMaterial'!Q:Q),
    ('1_RawMaterial'!D:D=A13)*('1_RawMaterial'!C:C=B13)
  )
)</f>
        <v>0.49497474683058273</v>
      </c>
      <c r="F13" s="165" t="s">
        <v>9</v>
      </c>
      <c r="G13" s="161" t="s">
        <v>136</v>
      </c>
      <c r="H13" s="1" t="s">
        <v>22</v>
      </c>
      <c r="I13" s="162" cm="1">
        <f t="array" ref="I13">IFERROR(_xlfn.LET(_xlpm.col,_xlfn.SWITCH($F13,"Moisture",'4_BreadComposition'!$K$2:$K$99,"Ash",'4_BreadComposition'!$M$2:$M$99,"Protein",'4_BreadComposition'!$O$2:$O$99,"Fibre",'4_BreadComposition'!$P$2:$P$99),_xlpm.f,_xlfn._xlws.FILTER(_xlpm.col,(TRIM('4_BreadComposition'!$D$2:$D$99)=TRIM($H13))*('4_BreadComposition'!$E$2:$E$99=$F13)*('4_BreadComposition'!$B$2:$B$99=$G13)*ISNUMBER(_xlpm.col)),AVERAGE(_xlpm.f)),"")</f>
        <v>8.5699999999999998E-2</v>
      </c>
      <c r="J13" s="166" t="str" cm="1">
        <f t="array" ref="J13">IFERROR(_xlfn.LET(_xlpm.col,_xlfn.SWITCH($F13,"Moisture",'4_BreadComposition'!$K$2:$K$99,"Ash",'4_BreadComposition'!$M$2:$M$99,"Protein",'4_BreadComposition'!$O$2:$O$99,"Fibre",'4_BreadComposition'!$P$2:$P$99),_xlpm.f,_xlfn._xlws.FILTER(_xlpm.col,(TRIM('4_BreadComposition'!$D$2:$D$99)=TRIM($H13))*('4_BreadComposition'!$E$2:$E$99=$F13)*('4_BreadComposition'!$B$2:$B$99=$G13)*ISNUMBER(_xlpm.col)),_xlfn.STDEV.S(_xlpm.f)),"")</f>
        <v/>
      </c>
      <c r="K13" s="160"/>
      <c r="L13" s="118" t="s">
        <v>22</v>
      </c>
      <c r="M13" s="100">
        <v>2</v>
      </c>
      <c r="N13" s="92">
        <f>AVERAGEIFS('5_Sensorial'!$N:$N, '5_Sensorial'!$B:$B, L13, '5_Sensorial'!$C:$C, M13)</f>
        <v>78.5625</v>
      </c>
      <c r="O13" s="93" cm="1">
        <f t="array" ref="O13">_xlfn.STDEV.S(IF(('5_Sensorial'!$B:$B=$L13)*('5_Sensorial'!$C:$C=$M13),'5_Sensorial'!$N:$N)) /
AVERAGEIFS('5_Sensorial'!$N:$N,'5_Sensorial'!$B:$B,$L13,'5_Sensorial'!$C:$C,$M13) * 100</f>
        <v>13.778455293627815</v>
      </c>
    </row>
    <row r="14" spans="1:27" thickBot="1" x14ac:dyDescent="0.4">
      <c r="A14" s="69" t="s">
        <v>19</v>
      </c>
      <c r="B14" s="8" t="s">
        <v>15</v>
      </c>
      <c r="C14" s="20" cm="1">
        <f t="array" ref="C14">AVERAGEIFS(
  _xlfn.SWITCH(A14,"Moisture",'1_RawMaterial'!K:K,"Ash",'1_RawMaterial'!L:L,"Protein",'1_RawMaterial'!N:N,"Gluten",'1_RawMaterial'!P:P,"Fibre",'1_RawMaterial'!Q:Q),
  '1_RawMaterial'!D:D, A14,
  '1_RawMaterial'!C:C, B14
)</f>
        <v>14.9</v>
      </c>
      <c r="D14" s="86" cm="1">
        <f t="array" ref="D14">_xlfn.STDEV.S(
  _xlfn._xlws.FILTER(
    _xlfn.SWITCH(A14,"Moisture",'1_RawMaterial'!K:K,"Ash",'1_RawMaterial'!L:L,"Protein",'1_RawMaterial'!N:N,"Gluten",'1_RawMaterial'!P:P,"Fibre",'1_RawMaterial'!Q:Q),
    ('1_RawMaterial'!D:D=A14)*('1_RawMaterial'!C:C=B14)
  )
)</f>
        <v>0.141421356237309</v>
      </c>
      <c r="F14" s="165" t="s">
        <v>9</v>
      </c>
      <c r="G14" s="161" t="s">
        <v>136</v>
      </c>
      <c r="H14" s="1" t="s">
        <v>23</v>
      </c>
      <c r="I14" s="162" cm="1">
        <f t="array" ref="I14">IFERROR(_xlfn.LET(_xlpm.col,_xlfn.SWITCH($F14,"Moisture",'4_BreadComposition'!$K$2:$K$99,"Ash",'4_BreadComposition'!$M$2:$M$99,"Protein",'4_BreadComposition'!$O$2:$O$99,"Fibre",'4_BreadComposition'!$P$2:$P$99),_xlpm.f,_xlfn._xlws.FILTER(_xlpm.col,(TRIM('4_BreadComposition'!$D$2:$D$99)=TRIM($H14))*('4_BreadComposition'!$E$2:$E$99=$F14)*('4_BreadComposition'!$B$2:$B$99=$G14)*ISNUMBER(_xlpm.col)),AVERAGE(_xlpm.f)),"")</f>
        <v>8.5199999999999998E-2</v>
      </c>
      <c r="J14" s="166" t="str" cm="1">
        <f t="array" ref="J14">IFERROR(_xlfn.LET(_xlpm.col,_xlfn.SWITCH($F14,"Moisture",'4_BreadComposition'!$K$2:$K$99,"Ash",'4_BreadComposition'!$M$2:$M$99,"Protein",'4_BreadComposition'!$O$2:$O$99,"Fibre",'4_BreadComposition'!$P$2:$P$99),_xlpm.f,_xlfn._xlws.FILTER(_xlpm.col,(TRIM('4_BreadComposition'!$D$2:$D$99)=TRIM($H14))*('4_BreadComposition'!$E$2:$E$99=$F14)*('4_BreadComposition'!$B$2:$B$99=$G14)*ISNUMBER(_xlpm.col)),_xlfn.STDEV.S(_xlpm.f)),"")</f>
        <v/>
      </c>
      <c r="K14" s="160"/>
      <c r="L14" s="118" t="s">
        <v>23</v>
      </c>
      <c r="M14" s="100">
        <v>2</v>
      </c>
      <c r="N14" s="92">
        <f>AVERAGEIFS('5_Sensorial'!$N:$N, '5_Sensorial'!$B:$B, L14, '5_Sensorial'!$C:$C, M14)</f>
        <v>69.25</v>
      </c>
      <c r="O14" s="93" cm="1">
        <f t="array" ref="O14">_xlfn.STDEV.S(IF(('5_Sensorial'!$B:$B=$L14)*('5_Sensorial'!$C:$C=$M14),'5_Sensorial'!$N:$N)) /
AVERAGEIFS('5_Sensorial'!$N:$N,'5_Sensorial'!$B:$B,$L14,'5_Sensorial'!$C:$C,$M14) * 100</f>
        <v>20.090967441633975</v>
      </c>
    </row>
    <row r="15" spans="1:27" ht="14.5" x14ac:dyDescent="0.35">
      <c r="A15" s="61" t="s">
        <v>24</v>
      </c>
      <c r="B15" s="62" t="s">
        <v>10</v>
      </c>
      <c r="C15" s="63" cm="1">
        <f t="array" ref="C15">AVERAGEIFS(
  _xlfn.SWITCH(A15,"Moisture",'1_RawMaterial'!K:K,"Ash",'1_RawMaterial'!L:L,"Protein",'1_RawMaterial'!N:N,"Gluten",'1_RawMaterial'!P:P,"Fibre",'1_RawMaterial'!Q:Q),
  '1_RawMaterial'!D:D, A15,
  '1_RawMaterial'!C:C, B15
)</f>
        <v>0.29036091534246478</v>
      </c>
      <c r="D15" s="70" cm="1">
        <f t="array" ref="D15">_xlfn.STDEV.S(
  _xlfn._xlws.FILTER(
    _xlfn.SWITCH(A15,"Moisture",'1_RawMaterial'!K:K,"Ash",'1_RawMaterial'!L:L,"Protein",'1_RawMaterial'!N:N,"Gluten",'1_RawMaterial'!P:P,"Fibre",'1_RawMaterial'!Q:Q),
    ('1_RawMaterial'!D:D=A15)*('1_RawMaterial'!C:C=B15)
  )
)</f>
        <v>0</v>
      </c>
      <c r="F15" s="165" t="s">
        <v>9</v>
      </c>
      <c r="G15" s="161" t="s">
        <v>136</v>
      </c>
      <c r="H15" s="1" t="s">
        <v>26</v>
      </c>
      <c r="I15" s="162" cm="1">
        <f t="array" ref="I15">IFERROR(_xlfn.LET(_xlpm.col,_xlfn.SWITCH($F15,"Moisture",'4_BreadComposition'!$K$2:$K$99,"Ash",'4_BreadComposition'!$M$2:$M$99,"Protein",'4_BreadComposition'!$O$2:$O$99,"Fibre",'4_BreadComposition'!$P$2:$P$99),_xlpm.f,_xlfn._xlws.FILTER(_xlpm.col,(TRIM('4_BreadComposition'!$D$2:$D$99)=TRIM($H15))*('4_BreadComposition'!$E$2:$E$99=$F15)*('4_BreadComposition'!$B$2:$B$99=$G15)*ISNUMBER(_xlpm.col)),AVERAGE(_xlpm.f)),"")</f>
        <v>8.6599999999999996E-2</v>
      </c>
      <c r="J15" s="166" t="str" cm="1">
        <f t="array" ref="J15">IFERROR(_xlfn.LET(_xlpm.col,_xlfn.SWITCH($F15,"Moisture",'4_BreadComposition'!$K$2:$K$99,"Ash",'4_BreadComposition'!$M$2:$M$99,"Protein",'4_BreadComposition'!$O$2:$O$99,"Fibre",'4_BreadComposition'!$P$2:$P$99),_xlpm.f,_xlfn._xlws.FILTER(_xlpm.col,(TRIM('4_BreadComposition'!$D$2:$D$99)=TRIM($H15))*('4_BreadComposition'!$E$2:$E$99=$F15)*('4_BreadComposition'!$B$2:$B$99=$G15)*ISNUMBER(_xlpm.col)),_xlfn.STDEV.S(_xlpm.f)),"")</f>
        <v/>
      </c>
      <c r="K15" s="160"/>
      <c r="L15" s="118" t="s">
        <v>26</v>
      </c>
      <c r="M15" s="100">
        <v>2</v>
      </c>
      <c r="N15" s="92">
        <f>AVERAGEIFS('5_Sensorial'!$N:$N, '5_Sensorial'!$B:$B, L15, '5_Sensorial'!$C:$C, M15)</f>
        <v>72.4375</v>
      </c>
      <c r="O15" s="93" cm="1">
        <f t="array" ref="O15">_xlfn.STDEV.S(IF(('5_Sensorial'!$B:$B=$L15)*('5_Sensorial'!$C:$C=$M15),'5_Sensorial'!$N:$N)) /
AVERAGEIFS('5_Sensorial'!$N:$N,'5_Sensorial'!$B:$B,$L15,'5_Sensorial'!$C:$C,$M15) * 100</f>
        <v>12.22813442646213</v>
      </c>
    </row>
    <row r="16" spans="1:27" thickBot="1" x14ac:dyDescent="0.4">
      <c r="A16" s="64" t="s">
        <v>24</v>
      </c>
      <c r="B16" s="1" t="s">
        <v>13</v>
      </c>
      <c r="C16" s="19" cm="1">
        <f t="array" ref="C16">AVERAGEIFS(
  _xlfn.SWITCH(A16,"Moisture",'1_RawMaterial'!K:K,"Ash",'1_RawMaterial'!L:L,"Protein",'1_RawMaterial'!N:N,"Gluten",'1_RawMaterial'!P:P,"Fibre",'1_RawMaterial'!Q:Q),
  '1_RawMaterial'!D:D, A16,
  '1_RawMaterial'!C:C, B16
)</f>
        <v>0.24027900811130853</v>
      </c>
      <c r="D16" s="71" cm="1">
        <f t="array" ref="D16">_xlfn.STDEV.S(
  _xlfn._xlws.FILTER(
    _xlfn.SWITCH(A16,"Moisture",'1_RawMaterial'!K:K,"Ash",'1_RawMaterial'!L:L,"Protein",'1_RawMaterial'!N:N,"Gluten",'1_RawMaterial'!P:P,"Fibre",'1_RawMaterial'!Q:Q),
    ('1_RawMaterial'!D:D=A16)*('1_RawMaterial'!C:C=B16)
  )
)</f>
        <v>0</v>
      </c>
      <c r="F16" s="169" t="s">
        <v>9</v>
      </c>
      <c r="G16" s="170" t="s">
        <v>136</v>
      </c>
      <c r="H16" s="171" t="s">
        <v>27</v>
      </c>
      <c r="I16" s="183" cm="1">
        <f t="array" ref="I16">IFERROR(_xlfn.LET(_xlpm.col,_xlfn.SWITCH($F16,"Moisture",'4_BreadComposition'!$K$2:$K$99,"Ash",'4_BreadComposition'!$M$2:$M$99,"Protein",'4_BreadComposition'!$O$2:$O$99,"Fibre",'4_BreadComposition'!$P$2:$P$99),_xlpm.f,_xlfn._xlws.FILTER(_xlpm.col,(TRIM('4_BreadComposition'!$D$2:$D$99)=TRIM($H16))*('4_BreadComposition'!$E$2:$E$99=$F16)*('4_BreadComposition'!$B$2:$B$99=$G16)*ISNUMBER(_xlpm.col)),AVERAGE(_xlpm.f)),"")</f>
        <v>8.3500000000000005E-2</v>
      </c>
      <c r="J16" s="184" t="str" cm="1">
        <f t="array" ref="J16">IFERROR(_xlfn.LET(_xlpm.col,_xlfn.SWITCH($F16,"Moisture",'4_BreadComposition'!$K$2:$K$99,"Ash",'4_BreadComposition'!$M$2:$M$99,"Protein",'4_BreadComposition'!$O$2:$O$99,"Fibre",'4_BreadComposition'!$P$2:$P$99),_xlpm.f,_xlfn._xlws.FILTER(_xlpm.col,(TRIM('4_BreadComposition'!$D$2:$D$99)=TRIM($H16))*('4_BreadComposition'!$E$2:$E$99=$F16)*('4_BreadComposition'!$B$2:$B$99=$G16)*ISNUMBER(_xlpm.col)),_xlfn.STDEV.S(_xlpm.f)),"")</f>
        <v/>
      </c>
      <c r="K16" s="160"/>
      <c r="L16" s="119" t="s">
        <v>27</v>
      </c>
      <c r="M16" s="103">
        <v>2</v>
      </c>
      <c r="N16" s="114">
        <f>AVERAGEIFS('5_Sensorial'!$N:$N, '5_Sensorial'!$B:$B, L16, '5_Sensorial'!$C:$C, M16)</f>
        <v>66.6875</v>
      </c>
      <c r="O16" s="115" cm="1">
        <f t="array" ref="O16">_xlfn.STDEV.S(IF(('5_Sensorial'!$B:$B=$L16)*('5_Sensorial'!$C:$C=$M16),'5_Sensorial'!$N:$N)) /
AVERAGEIFS('5_Sensorial'!$N:$N,'5_Sensorial'!$B:$B,$L16,'5_Sensorial'!$C:$C,$M16) * 100</f>
        <v>19.427624521682144</v>
      </c>
    </row>
    <row r="17" spans="1:11" thickBot="1" x14ac:dyDescent="0.4">
      <c r="A17" s="65" t="s">
        <v>24</v>
      </c>
      <c r="B17" s="66" t="s">
        <v>15</v>
      </c>
      <c r="C17" s="67" cm="1">
        <f t="array" ref="C17">AVERAGEIFS(
  _xlfn.SWITCH(A17,"Moisture",'1_RawMaterial'!K:K,"Ash",'1_RawMaterial'!L:L,"Protein",'1_RawMaterial'!N:N,"Gluten",'1_RawMaterial'!P:P,"Fibre",'1_RawMaterial'!Q:Q),
  '1_RawMaterial'!D:D, A17,
  '1_RawMaterial'!C:C, B17
)</f>
        <v>0.22524055572448143</v>
      </c>
      <c r="D17" s="72" cm="1">
        <f t="array" ref="D17">_xlfn.STDEV.S(
  _xlfn._xlws.FILTER(
    _xlfn.SWITCH(A17,"Moisture",'1_RawMaterial'!K:K,"Ash",'1_RawMaterial'!L:L,"Protein",'1_RawMaterial'!N:N,"Gluten",'1_RawMaterial'!P:P,"Fibre",'1_RawMaterial'!Q:Q),
    ('1_RawMaterial'!D:D=A17)*('1_RawMaterial'!C:C=B17)
  )
)</f>
        <v>7.0786277489336569E-3</v>
      </c>
      <c r="F17" s="178" t="s">
        <v>17</v>
      </c>
      <c r="G17" s="179" t="s">
        <v>135</v>
      </c>
      <c r="H17" s="180" t="s">
        <v>10</v>
      </c>
      <c r="I17" s="181" cm="1">
        <f t="array" ref="I17">IFERROR(_xlfn.LET(_xlpm.col,_xlfn.SWITCH($F17,"Moisture",'4_BreadComposition'!$K$2:$K$99,"Ash",'4_BreadComposition'!$M$2:$M$99,"Protein",'4_BreadComposition'!$O$2:$O$99,"Fibre",'4_BreadComposition'!$P$2:$P$99),_xlpm.f,_xlfn._xlws.FILTER(_xlpm.col,(TRIM('4_BreadComposition'!$D$2:$D$99)=TRIM($H17))*('4_BreadComposition'!$E$2:$E$99=$F17)*('4_BreadComposition'!$B$2:$B$99=$G17)*ISNUMBER(_xlpm.col)),AVERAGE(_xlpm.f)),"")</f>
        <v>5.8225256567984596E-3</v>
      </c>
      <c r="J17" s="182" cm="1">
        <f t="array" ref="J17">IFERROR(_xlfn.LET(_xlpm.col,_xlfn.SWITCH($F17,"Moisture",'4_BreadComposition'!$K$2:$K$99,"Ash",'4_BreadComposition'!$M$2:$M$99,"Protein",'4_BreadComposition'!$O$2:$O$99,"Fibre",'4_BreadComposition'!$P$2:$P$99),_xlpm.f,_xlfn._xlws.FILTER(_xlpm.col,(TRIM('4_BreadComposition'!$D$2:$D$99)=TRIM($H17))*('4_BreadComposition'!$E$2:$E$99=$F17)*('4_BreadComposition'!$B$2:$B$99=$G17)*ISNUMBER(_xlpm.col)),_xlfn.STDEV.S(_xlpm.f)),"")</f>
        <v>6.1100931855936609E-4</v>
      </c>
      <c r="K17" s="160"/>
    </row>
    <row r="18" spans="1:11" ht="14.5" x14ac:dyDescent="0.35">
      <c r="A18" s="83" t="s">
        <v>28</v>
      </c>
      <c r="B18" s="62" t="s">
        <v>10</v>
      </c>
      <c r="C18" s="85" cm="1">
        <f t="array" ref="C18">AVERAGEIFS(
  _xlfn.SWITCH(A18,"Moisture",'1_RawMaterial'!K:K,"Ash",'1_RawMaterial'!L:L,"Protein",'1_RawMaterial'!N:N,"Gluten",'1_RawMaterial'!P:P,"Fibre",'1_RawMaterial'!Q:Q),
  '1_RawMaterial'!D:D, A18,
  '1_RawMaterial'!C:C, B18
)</f>
        <v>0</v>
      </c>
      <c r="D18" s="84" cm="1">
        <f t="array" ref="D18">_xlfn.STDEV.S(
  _xlfn._xlws.FILTER(
    _xlfn.SWITCH(A18,"Moisture",'1_RawMaterial'!K:K,"Ash",'1_RawMaterial'!L:L,"Protein",'1_RawMaterial'!N:N,"Gluten",'1_RawMaterial'!P:P,"Fibre",'1_RawMaterial'!Q:Q),
    ('1_RawMaterial'!D:D=A18)*('1_RawMaterial'!C:C=B18)
  )
)</f>
        <v>0</v>
      </c>
      <c r="F18" s="165" t="s">
        <v>17</v>
      </c>
      <c r="G18" s="161" t="s">
        <v>135</v>
      </c>
      <c r="H18" s="1" t="s">
        <v>12</v>
      </c>
      <c r="I18" s="162" cm="1">
        <f t="array" ref="I18">IFERROR(_xlfn.LET(_xlpm.col,_xlfn.SWITCH($F18,"Moisture",'4_BreadComposition'!$K$2:$K$99,"Ash",'4_BreadComposition'!$M$2:$M$99,"Protein",'4_BreadComposition'!$O$2:$O$99,"Fibre",'4_BreadComposition'!$P$2:$P$99),_xlpm.f,_xlfn._xlws.FILTER(_xlpm.col,(TRIM('4_BreadComposition'!$D$2:$D$99)=TRIM($H18))*('4_BreadComposition'!$E$2:$E$99=$F18)*('4_BreadComposition'!$B$2:$B$99=$G18)*ISNUMBER(_xlpm.col)),AVERAGE(_xlpm.f)),"")</f>
        <v>8.8259763601712671E-3</v>
      </c>
      <c r="J18" s="166" cm="1">
        <f t="array" ref="J18">IFERROR(_xlfn.LET(_xlpm.col,_xlfn.SWITCH($F18,"Moisture",'4_BreadComposition'!$K$2:$K$99,"Ash",'4_BreadComposition'!$M$2:$M$99,"Protein",'4_BreadComposition'!$O$2:$O$99,"Fibre",'4_BreadComposition'!$P$2:$P$99),_xlpm.f,_xlfn._xlws.FILTER(_xlpm.col,(TRIM('4_BreadComposition'!$D$2:$D$99)=TRIM($H18))*('4_BreadComposition'!$E$2:$E$99=$F18)*('4_BreadComposition'!$B$2:$B$99=$G18)*ISNUMBER(_xlpm.col)),_xlfn.STDEV.S(_xlpm.f)),"")</f>
        <v>3.0288570566119546E-4</v>
      </c>
      <c r="K18" s="160"/>
    </row>
    <row r="19" spans="1:11" ht="14.5" x14ac:dyDescent="0.35">
      <c r="A19" s="83" t="s">
        <v>28</v>
      </c>
      <c r="B19" s="1" t="s">
        <v>11</v>
      </c>
      <c r="C19" s="85" cm="1">
        <f t="array" ref="C19">AVERAGEIFS(
  _xlfn.SWITCH(A19,"Moisture",'1_RawMaterial'!K:K,"Ash",'1_RawMaterial'!L:L,"Protein",'1_RawMaterial'!N:N,"Gluten",'1_RawMaterial'!P:P,"Fibre",'1_RawMaterial'!Q:Q),
  '1_RawMaterial'!D:D, A19,
  '1_RawMaterial'!C:C, B19
)</f>
        <v>0.18020000000000003</v>
      </c>
      <c r="D19" s="84" cm="1">
        <f t="array" ref="D19">_xlfn.STDEV.S(
  _xlfn._xlws.FILTER(
    _xlfn.SWITCH(A19,"Moisture",'1_RawMaterial'!K:K,"Ash",'1_RawMaterial'!L:L,"Protein",'1_RawMaterial'!N:N,"Gluten",'1_RawMaterial'!P:P,"Fibre",'1_RawMaterial'!Q:Q),
    ('1_RawMaterial'!D:D=A19)*('1_RawMaterial'!C:C=B19)
  )
)</f>
        <v>3.3941125496954275E-3</v>
      </c>
      <c r="F19" s="165" t="s">
        <v>17</v>
      </c>
      <c r="G19" s="161" t="s">
        <v>135</v>
      </c>
      <c r="H19" s="1" t="s">
        <v>25</v>
      </c>
      <c r="I19" s="162" cm="1">
        <f t="array" ref="I19">IFERROR(_xlfn.LET(_xlpm.col,_xlfn.SWITCH($F19,"Moisture",'4_BreadComposition'!$K$2:$K$99,"Ash",'4_BreadComposition'!$M$2:$M$99,"Protein",'4_BreadComposition'!$O$2:$O$99,"Fibre",'4_BreadComposition'!$P$2:$P$99),_xlpm.f,_xlfn._xlws.FILTER(_xlpm.col,(TRIM('4_BreadComposition'!$D$2:$D$99)=TRIM($H19))*('4_BreadComposition'!$E$2:$E$99=$F19)*('4_BreadComposition'!$B$2:$B$99=$G19)*ISNUMBER(_xlpm.col)),AVERAGE(_xlpm.f)),"")</f>
        <v>1.0562903814978708E-2</v>
      </c>
      <c r="J19" s="166" cm="1">
        <f t="array" ref="J19">IFERROR(_xlfn.LET(_xlpm.col,_xlfn.SWITCH($F19,"Moisture",'4_BreadComposition'!$K$2:$K$99,"Ash",'4_BreadComposition'!$M$2:$M$99,"Protein",'4_BreadComposition'!$O$2:$O$99,"Fibre",'4_BreadComposition'!$P$2:$P$99),_xlpm.f,_xlfn._xlws.FILTER(_xlpm.col,(TRIM('4_BreadComposition'!$D$2:$D$99)=TRIM($H19))*('4_BreadComposition'!$E$2:$E$99=$F19)*('4_BreadComposition'!$B$2:$B$99=$G19)*ISNUMBER(_xlpm.col)),_xlfn.STDEV.S(_xlpm.f)),"")</f>
        <v>5.2667425605047529E-4</v>
      </c>
      <c r="K19" s="160"/>
    </row>
    <row r="20" spans="1:11" ht="14.5" x14ac:dyDescent="0.35">
      <c r="A20" s="83" t="s">
        <v>28</v>
      </c>
      <c r="B20" s="1" t="s">
        <v>13</v>
      </c>
      <c r="C20" s="85" cm="1">
        <f t="array" ref="C20">AVERAGEIFS(
  _xlfn.SWITCH(A20,"Moisture",'1_RawMaterial'!K:K,"Ash",'1_RawMaterial'!L:L,"Protein",'1_RawMaterial'!N:N,"Gluten",'1_RawMaterial'!P:P,"Fibre",'1_RawMaterial'!Q:Q),
  '1_RawMaterial'!D:D, A20,
  '1_RawMaterial'!C:C, B20
)</f>
        <v>1.3149999999999998E-2</v>
      </c>
      <c r="D20" s="84" cm="1">
        <f t="array" ref="D20">_xlfn.STDEV.S(
  _xlfn._xlws.FILTER(
    _xlfn.SWITCH(A20,"Moisture",'1_RawMaterial'!K:K,"Ash",'1_RawMaterial'!L:L,"Protein",'1_RawMaterial'!N:N,"Gluten",'1_RawMaterial'!P:P,"Fibre",'1_RawMaterial'!Q:Q),
    ('1_RawMaterial'!D:D=A20)*('1_RawMaterial'!C:C=B20)
  )
)</f>
        <v>1.060660171779821E-3</v>
      </c>
      <c r="F20" s="165" t="s">
        <v>17</v>
      </c>
      <c r="G20" s="161" t="s">
        <v>135</v>
      </c>
      <c r="H20" s="1" t="s">
        <v>16</v>
      </c>
      <c r="I20" s="162" cm="1">
        <f t="array" ref="I20">IFERROR(_xlfn.LET(_xlpm.col,_xlfn.SWITCH($F20,"Moisture",'4_BreadComposition'!$K$2:$K$99,"Ash",'4_BreadComposition'!$M$2:$M$99,"Protein",'4_BreadComposition'!$O$2:$O$99,"Fibre",'4_BreadComposition'!$P$2:$P$99),_xlpm.f,_xlfn._xlws.FILTER(_xlpm.col,(TRIM('4_BreadComposition'!$D$2:$D$99)=TRIM($H20))*('4_BreadComposition'!$E$2:$E$99=$F20)*('4_BreadComposition'!$B$2:$B$99=$G20)*ISNUMBER(_xlpm.col)),AVERAGE(_xlpm.f)),"")</f>
        <v>9.8364826395132138E-3</v>
      </c>
      <c r="J20" s="166" cm="1">
        <f t="array" ref="J20">IFERROR(_xlfn.LET(_xlpm.col,_xlfn.SWITCH($F20,"Moisture",'4_BreadComposition'!$K$2:$K$99,"Ash",'4_BreadComposition'!$M$2:$M$99,"Protein",'4_BreadComposition'!$O$2:$O$99,"Fibre",'4_BreadComposition'!$P$2:$P$99),_xlpm.f,_xlfn._xlws.FILTER(_xlpm.col,(TRIM('4_BreadComposition'!$D$2:$D$99)=TRIM($H20))*('4_BreadComposition'!$E$2:$E$99=$F20)*('4_BreadComposition'!$B$2:$B$99=$G20)*ISNUMBER(_xlpm.col)),_xlfn.STDEV.S(_xlpm.f)),"")</f>
        <v>7.4735040216111694E-4</v>
      </c>
      <c r="K20" s="160"/>
    </row>
    <row r="21" spans="1:11" ht="14.5" x14ac:dyDescent="0.35">
      <c r="A21" s="83" t="s">
        <v>28</v>
      </c>
      <c r="B21" s="8" t="s">
        <v>15</v>
      </c>
      <c r="C21" s="85" cm="1">
        <f t="array" ref="C21">AVERAGEIFS(
  _xlfn.SWITCH(A21,"Moisture",'1_RawMaterial'!K:K,"Ash",'1_RawMaterial'!L:L,"Protein",'1_RawMaterial'!N:N,"Gluten",'1_RawMaterial'!P:P,"Fibre",'1_RawMaterial'!Q:Q),
  '1_RawMaterial'!D:D, A21,
  '1_RawMaterial'!C:C, B21
)</f>
        <v>3.1399999999999997E-2</v>
      </c>
      <c r="D21" s="84" cm="1">
        <f t="array" ref="D21">_xlfn.STDEV.S(
  _xlfn._xlws.FILTER(
    _xlfn.SWITCH(A21,"Moisture",'1_RawMaterial'!K:K,"Ash",'1_RawMaterial'!L:L,"Protein",'1_RawMaterial'!N:N,"Gluten",'1_RawMaterial'!P:P,"Fibre",'1_RawMaterial'!Q:Q),
    ('1_RawMaterial'!D:D=A21)*('1_RawMaterial'!C:C=B21)
  )
)</f>
        <v>4.2426406871192844E-4</v>
      </c>
      <c r="F21" s="165" t="s">
        <v>17</v>
      </c>
      <c r="G21" s="161" t="s">
        <v>135</v>
      </c>
      <c r="H21" s="1" t="s">
        <v>18</v>
      </c>
      <c r="I21" s="162" cm="1">
        <f t="array" ref="I21">IFERROR(_xlfn.LET(_xlpm.col,_xlfn.SWITCH($F21,"Moisture",'4_BreadComposition'!$K$2:$K$99,"Ash",'4_BreadComposition'!$M$2:$M$99,"Protein",'4_BreadComposition'!$O$2:$O$99,"Fibre",'4_BreadComposition'!$P$2:$P$99),_xlpm.f,_xlfn._xlws.FILTER(_xlpm.col,(TRIM('4_BreadComposition'!$D$2:$D$99)=TRIM($H21))*('4_BreadComposition'!$E$2:$E$99=$F21)*('4_BreadComposition'!$B$2:$B$99=$G21)*ISNUMBER(_xlpm.col)),AVERAGE(_xlpm.f)),"")</f>
        <v>1.4668876620907143E-2</v>
      </c>
      <c r="J21" s="166" cm="1">
        <f t="array" ref="J21">IFERROR(_xlfn.LET(_xlpm.col,_xlfn.SWITCH($F21,"Moisture",'4_BreadComposition'!$K$2:$K$99,"Ash",'4_BreadComposition'!$M$2:$M$99,"Protein",'4_BreadComposition'!$O$2:$O$99,"Fibre",'4_BreadComposition'!$P$2:$P$99),_xlpm.f,_xlfn._xlws.FILTER(_xlpm.col,(TRIM('4_BreadComposition'!$D$2:$D$99)=TRIM($H21))*('4_BreadComposition'!$E$2:$E$99=$F21)*('4_BreadComposition'!$B$2:$B$99=$G21)*ISNUMBER(_xlpm.col)),_xlfn.STDEV.S(_xlpm.f)),"")</f>
        <v>1.2554127670246855E-3</v>
      </c>
      <c r="K21" s="160"/>
    </row>
    <row r="22" spans="1:11" ht="14.5" x14ac:dyDescent="0.35">
      <c r="A22" s="10"/>
      <c r="C22" s="81"/>
      <c r="D22" s="82"/>
      <c r="F22" s="165" t="s">
        <v>17</v>
      </c>
      <c r="G22" s="161" t="s">
        <v>136</v>
      </c>
      <c r="H22" s="1" t="s">
        <v>10</v>
      </c>
      <c r="I22" s="162" cm="1">
        <f t="array" ref="I22">IFERROR(_xlfn.LET(_xlpm.col,_xlfn.SWITCH($F22,"Moisture",'4_BreadComposition'!$K$2:$K$99,"Ash",'4_BreadComposition'!$M$2:$M$99,"Protein",'4_BreadComposition'!$O$2:$O$99,"Fibre",'4_BreadComposition'!$P$2:$P$99),_xlpm.f,_xlfn._xlws.FILTER(_xlpm.col,(TRIM('4_BreadComposition'!$D$2:$D$99)=TRIM($H22))*('4_BreadComposition'!$E$2:$E$99=$F22)*('4_BreadComposition'!$B$2:$B$99=$G22)*ISNUMBER(_xlpm.col)),AVERAGE(_xlpm.f)),"")</f>
        <v>8.6999999999999994E-3</v>
      </c>
      <c r="J22" s="166" cm="1">
        <f t="array" ref="J22">IFERROR(_xlfn.LET(_xlpm.col,_xlfn.SWITCH($F22,"Moisture",'4_BreadComposition'!$K$2:$K$99,"Ash",'4_BreadComposition'!$M$2:$M$99,"Protein",'4_BreadComposition'!$O$2:$O$99,"Fibre",'4_BreadComposition'!$P$2:$P$99),_xlpm.f,_xlfn._xlws.FILTER(_xlpm.col,(TRIM('4_BreadComposition'!$D$2:$D$99)=TRIM($H22))*('4_BreadComposition'!$E$2:$E$99=$F22)*('4_BreadComposition'!$B$2:$B$99=$G22)*ISNUMBER(_xlpm.col)),_xlfn.STDEV.S(_xlpm.f)),"")</f>
        <v>5.6568542494923836E-4</v>
      </c>
      <c r="K22" s="160"/>
    </row>
    <row r="23" spans="1:11" ht="14.5" x14ac:dyDescent="0.35">
      <c r="F23" s="165" t="s">
        <v>17</v>
      </c>
      <c r="G23" s="161" t="s">
        <v>136</v>
      </c>
      <c r="H23" s="1" t="s">
        <v>16</v>
      </c>
      <c r="I23" s="162" cm="1">
        <f t="array" ref="I23">IFERROR(_xlfn.LET(_xlpm.col,_xlfn.SWITCH($F23,"Moisture",'4_BreadComposition'!$K$2:$K$99,"Ash",'4_BreadComposition'!$M$2:$M$99,"Protein",'4_BreadComposition'!$O$2:$O$99,"Fibre",'4_BreadComposition'!$P$2:$P$99),_xlpm.f,_xlfn._xlws.FILTER(_xlpm.col,(TRIM('4_BreadComposition'!$D$2:$D$99)=TRIM($H23))*('4_BreadComposition'!$E$2:$E$99=$F23)*('4_BreadComposition'!$B$2:$B$99=$G23)*ISNUMBER(_xlpm.col)),AVERAGE(_xlpm.f)),"")</f>
        <v>1.2649999999999998E-2</v>
      </c>
      <c r="J23" s="166" cm="1">
        <f t="array" ref="J23">IFERROR(_xlfn.LET(_xlpm.col,_xlfn.SWITCH($F23,"Moisture",'4_BreadComposition'!$K$2:$K$99,"Ash",'4_BreadComposition'!$M$2:$M$99,"Protein",'4_BreadComposition'!$O$2:$O$99,"Fibre",'4_BreadComposition'!$P$2:$P$99),_xlpm.f,_xlfn._xlws.FILTER(_xlpm.col,(TRIM('4_BreadComposition'!$D$2:$D$99)=TRIM($H23))*('4_BreadComposition'!$E$2:$E$99=$F23)*('4_BreadComposition'!$B$2:$B$99=$G23)*ISNUMBER(_xlpm.col)),_xlfn.STDEV.S(_xlpm.f)),"")</f>
        <v>1.3435028842544408E-3</v>
      </c>
      <c r="K23" s="160"/>
    </row>
    <row r="24" spans="1:11" ht="14.5" x14ac:dyDescent="0.35">
      <c r="F24" s="165" t="s">
        <v>17</v>
      </c>
      <c r="G24" s="161" t="s">
        <v>136</v>
      </c>
      <c r="H24" s="1" t="s">
        <v>18</v>
      </c>
      <c r="I24" s="162" cm="1">
        <f t="array" ref="I24">IFERROR(_xlfn.LET(_xlpm.col,_xlfn.SWITCH($F24,"Moisture",'4_BreadComposition'!$K$2:$K$99,"Ash",'4_BreadComposition'!$M$2:$M$99,"Protein",'4_BreadComposition'!$O$2:$O$99,"Fibre",'4_BreadComposition'!$P$2:$P$99),_xlpm.f,_xlfn._xlws.FILTER(_xlpm.col,(TRIM('4_BreadComposition'!$D$2:$D$99)=TRIM($H24))*('4_BreadComposition'!$E$2:$E$99=$F24)*('4_BreadComposition'!$B$2:$B$99=$G24)*ISNUMBER(_xlpm.col)),AVERAGE(_xlpm.f)),"")</f>
        <v>1.575E-2</v>
      </c>
      <c r="J24" s="166" cm="1">
        <f t="array" ref="J24">IFERROR(_xlfn.LET(_xlpm.col,_xlfn.SWITCH($F24,"Moisture",'4_BreadComposition'!$K$2:$K$99,"Ash",'4_BreadComposition'!$M$2:$M$99,"Protein",'4_BreadComposition'!$O$2:$O$99,"Fibre",'4_BreadComposition'!$P$2:$P$99),_xlpm.f,_xlfn._xlws.FILTER(_xlpm.col,(TRIM('4_BreadComposition'!$D$2:$D$99)=TRIM($H24))*('4_BreadComposition'!$E$2:$E$99=$F24)*('4_BreadComposition'!$B$2:$B$99=$G24)*ISNUMBER(_xlpm.col)),_xlfn.STDEV.S(_xlpm.f)),"")</f>
        <v>3.5355339059327408E-4</v>
      </c>
      <c r="K24" s="160"/>
    </row>
    <row r="25" spans="1:11" ht="14.5" x14ac:dyDescent="0.35">
      <c r="F25" s="165" t="s">
        <v>17</v>
      </c>
      <c r="G25" s="161" t="s">
        <v>136</v>
      </c>
      <c r="H25" s="1" t="s">
        <v>20</v>
      </c>
      <c r="I25" s="162" cm="1">
        <f t="array" ref="I25">IFERROR(_xlfn.LET(_xlpm.col,_xlfn.SWITCH($F25,"Moisture",'4_BreadComposition'!$K$2:$K$99,"Ash",'4_BreadComposition'!$M$2:$M$99,"Protein",'4_BreadComposition'!$O$2:$O$99,"Fibre",'4_BreadComposition'!$P$2:$P$99),_xlpm.f,_xlfn._xlws.FILTER(_xlpm.col,(TRIM('4_BreadComposition'!$D$2:$D$99)=TRIM($H25))*('4_BreadComposition'!$E$2:$E$99=$F25)*('4_BreadComposition'!$B$2:$B$99=$G25)*ISNUMBER(_xlpm.col)),AVERAGE(_xlpm.f)),"")</f>
        <v>1.125E-2</v>
      </c>
      <c r="J25" s="166" cm="1">
        <f t="array" ref="J25">IFERROR(_xlfn.LET(_xlpm.col,_xlfn.SWITCH($F25,"Moisture",'4_BreadComposition'!$K$2:$K$99,"Ash",'4_BreadComposition'!$M$2:$M$99,"Protein",'4_BreadComposition'!$O$2:$O$99,"Fibre",'4_BreadComposition'!$P$2:$P$99),_xlpm.f,_xlfn._xlws.FILTER(_xlpm.col,(TRIM('4_BreadComposition'!$D$2:$D$99)=TRIM($H25))*('4_BreadComposition'!$E$2:$E$99=$F25)*('4_BreadComposition'!$B$2:$B$99=$G25)*ISNUMBER(_xlpm.col)),_xlfn.STDEV.S(_xlpm.f)),"")</f>
        <v>1.6263455967290594E-3</v>
      </c>
      <c r="K25" s="160"/>
    </row>
    <row r="26" spans="1:11" ht="14.5" x14ac:dyDescent="0.35">
      <c r="F26" s="165" t="s">
        <v>17</v>
      </c>
      <c r="G26" s="161" t="s">
        <v>136</v>
      </c>
      <c r="H26" s="1" t="s">
        <v>21</v>
      </c>
      <c r="I26" s="162" cm="1">
        <f t="array" ref="I26">IFERROR(_xlfn.LET(_xlpm.col,_xlfn.SWITCH($F26,"Moisture",'4_BreadComposition'!$K$2:$K$99,"Ash",'4_BreadComposition'!$M$2:$M$99,"Protein",'4_BreadComposition'!$O$2:$O$99,"Fibre",'4_BreadComposition'!$P$2:$P$99),_xlpm.f,_xlfn._xlws.FILTER(_xlpm.col,(TRIM('4_BreadComposition'!$D$2:$D$99)=TRIM($H26))*('4_BreadComposition'!$E$2:$E$99=$F26)*('4_BreadComposition'!$B$2:$B$99=$G26)*ISNUMBER(_xlpm.col)),AVERAGE(_xlpm.f)),"")</f>
        <v>1.515E-2</v>
      </c>
      <c r="J26" s="166" cm="1">
        <f t="array" ref="J26">IFERROR(_xlfn.LET(_xlpm.col,_xlfn.SWITCH($F26,"Moisture",'4_BreadComposition'!$K$2:$K$99,"Ash",'4_BreadComposition'!$M$2:$M$99,"Protein",'4_BreadComposition'!$O$2:$O$99,"Fibre",'4_BreadComposition'!$P$2:$P$99),_xlpm.f,_xlfn._xlws.FILTER(_xlpm.col,(TRIM('4_BreadComposition'!$D$2:$D$99)=TRIM($H26))*('4_BreadComposition'!$E$2:$E$99=$F26)*('4_BreadComposition'!$B$2:$B$99=$G26)*ISNUMBER(_xlpm.col)),_xlfn.STDEV.S(_xlpm.f)),"")</f>
        <v>1.2020815280171309E-3</v>
      </c>
      <c r="K26" s="160"/>
    </row>
    <row r="27" spans="1:11" ht="14.5" x14ac:dyDescent="0.35">
      <c r="F27" s="165" t="s">
        <v>17</v>
      </c>
      <c r="G27" s="161" t="s">
        <v>136</v>
      </c>
      <c r="H27" s="1" t="s">
        <v>22</v>
      </c>
      <c r="I27" s="162" cm="1">
        <f t="array" ref="I27">IFERROR(_xlfn.LET(_xlpm.col,_xlfn.SWITCH($F27,"Moisture",'4_BreadComposition'!$K$2:$K$99,"Ash",'4_BreadComposition'!$M$2:$M$99,"Protein",'4_BreadComposition'!$O$2:$O$99,"Fibre",'4_BreadComposition'!$P$2:$P$99),_xlpm.f,_xlfn._xlws.FILTER(_xlpm.col,(TRIM('4_BreadComposition'!$D$2:$D$99)=TRIM($H27))*('4_BreadComposition'!$E$2:$E$99=$F27)*('4_BreadComposition'!$B$2:$B$99=$G27)*ISNUMBER(_xlpm.col)),AVERAGE(_xlpm.f)),"")</f>
        <v>1.4449999999999999E-2</v>
      </c>
      <c r="J27" s="166" cm="1">
        <f t="array" ref="J27">IFERROR(_xlfn.LET(_xlpm.col,_xlfn.SWITCH($F27,"Moisture",'4_BreadComposition'!$K$2:$K$99,"Ash",'4_BreadComposition'!$M$2:$M$99,"Protein",'4_BreadComposition'!$O$2:$O$99,"Fibre",'4_BreadComposition'!$P$2:$P$99),_xlpm.f,_xlfn._xlws.FILTER(_xlpm.col,(TRIM('4_BreadComposition'!$D$2:$D$99)=TRIM($H27))*('4_BreadComposition'!$E$2:$E$99=$F27)*('4_BreadComposition'!$B$2:$B$99=$G27)*ISNUMBER(_xlpm.col)),_xlfn.STDEV.S(_xlpm.f)),"")</f>
        <v>3.5355339059327408E-4</v>
      </c>
      <c r="K27" s="160"/>
    </row>
    <row r="28" spans="1:11" ht="14.5" x14ac:dyDescent="0.35">
      <c r="F28" s="165" t="s">
        <v>17</v>
      </c>
      <c r="G28" s="161" t="s">
        <v>136</v>
      </c>
      <c r="H28" s="1" t="s">
        <v>23</v>
      </c>
      <c r="I28" s="162" cm="1">
        <f t="array" ref="I28">IFERROR(_xlfn.LET(_xlpm.col,_xlfn.SWITCH($F28,"Moisture",'4_BreadComposition'!$K$2:$K$99,"Ash",'4_BreadComposition'!$M$2:$M$99,"Protein",'4_BreadComposition'!$O$2:$O$99,"Fibre",'4_BreadComposition'!$P$2:$P$99),_xlpm.f,_xlfn._xlws.FILTER(_xlpm.col,(TRIM('4_BreadComposition'!$D$2:$D$99)=TRIM($H28))*('4_BreadComposition'!$E$2:$E$99=$F28)*('4_BreadComposition'!$B$2:$B$99=$G28)*ISNUMBER(_xlpm.col)),AVERAGE(_xlpm.f)),"")</f>
        <v>1.865E-2</v>
      </c>
      <c r="J28" s="166" cm="1">
        <f t="array" ref="J28">IFERROR(_xlfn.LET(_xlpm.col,_xlfn.SWITCH($F28,"Moisture",'4_BreadComposition'!$K$2:$K$99,"Ash",'4_BreadComposition'!$M$2:$M$99,"Protein",'4_BreadComposition'!$O$2:$O$99,"Fibre",'4_BreadComposition'!$P$2:$P$99),_xlpm.f,_xlfn._xlws.FILTER(_xlpm.col,(TRIM('4_BreadComposition'!$D$2:$D$99)=TRIM($H28))*('4_BreadComposition'!$E$2:$E$99=$F28)*('4_BreadComposition'!$B$2:$B$99=$G28)*ISNUMBER(_xlpm.col)),_xlfn.STDEV.S(_xlpm.f)),"")</f>
        <v>2.7577164466275356E-3</v>
      </c>
      <c r="K28" s="160"/>
    </row>
    <row r="29" spans="1:11" ht="14.5" x14ac:dyDescent="0.35">
      <c r="F29" s="165" t="s">
        <v>17</v>
      </c>
      <c r="G29" s="161" t="s">
        <v>136</v>
      </c>
      <c r="H29" s="1" t="s">
        <v>26</v>
      </c>
      <c r="I29" s="162" cm="1">
        <f t="array" ref="I29">IFERROR(_xlfn.LET(_xlpm.col,_xlfn.SWITCH($F29,"Moisture",'4_BreadComposition'!$K$2:$K$99,"Ash",'4_BreadComposition'!$M$2:$M$99,"Protein",'4_BreadComposition'!$O$2:$O$99,"Fibre",'4_BreadComposition'!$P$2:$P$99),_xlpm.f,_xlfn._xlws.FILTER(_xlpm.col,(TRIM('4_BreadComposition'!$D$2:$D$99)=TRIM($H29))*('4_BreadComposition'!$E$2:$E$99=$F29)*('4_BreadComposition'!$B$2:$B$99=$G29)*ISNUMBER(_xlpm.col)),AVERAGE(_xlpm.f)),"")</f>
        <v>1.3350000000000001E-2</v>
      </c>
      <c r="J29" s="166" cm="1">
        <f t="array" ref="J29">IFERROR(_xlfn.LET(_xlpm.col,_xlfn.SWITCH($F29,"Moisture",'4_BreadComposition'!$K$2:$K$99,"Ash",'4_BreadComposition'!$M$2:$M$99,"Protein",'4_BreadComposition'!$O$2:$O$99,"Fibre",'4_BreadComposition'!$P$2:$P$99),_xlpm.f,_xlfn._xlws.FILTER(_xlpm.col,(TRIM('4_BreadComposition'!$D$2:$D$99)=TRIM($H29))*('4_BreadComposition'!$E$2:$E$99=$F29)*('4_BreadComposition'!$B$2:$B$99=$G29)*ISNUMBER(_xlpm.col)),_xlfn.STDEV.S(_xlpm.f)),"")</f>
        <v>3.0405591591021529E-3</v>
      </c>
      <c r="K29" s="160"/>
    </row>
    <row r="30" spans="1:11" thickBot="1" x14ac:dyDescent="0.4">
      <c r="F30" s="169" t="s">
        <v>17</v>
      </c>
      <c r="G30" s="170" t="s">
        <v>136</v>
      </c>
      <c r="H30" s="171" t="s">
        <v>27</v>
      </c>
      <c r="I30" s="183" cm="1">
        <f t="array" ref="I30">IFERROR(_xlfn.LET(_xlpm.col,_xlfn.SWITCH($F30,"Moisture",'4_BreadComposition'!$K$2:$K$99,"Ash",'4_BreadComposition'!$M$2:$M$99,"Protein",'4_BreadComposition'!$O$2:$O$99,"Fibre",'4_BreadComposition'!$P$2:$P$99),_xlpm.f,_xlfn._xlws.FILTER(_xlpm.col,(TRIM('4_BreadComposition'!$D$2:$D$99)=TRIM($H30))*('4_BreadComposition'!$E$2:$E$99=$F30)*('4_BreadComposition'!$B$2:$B$99=$G30)*ISNUMBER(_xlpm.col)),AVERAGE(_xlpm.f)),"")</f>
        <v>1.5250000000000001E-2</v>
      </c>
      <c r="J30" s="184" cm="1">
        <f t="array" ref="J30">IFERROR(_xlfn.LET(_xlpm.col,_xlfn.SWITCH($F30,"Moisture",'4_BreadComposition'!$K$2:$K$99,"Ash",'4_BreadComposition'!$M$2:$M$99,"Protein",'4_BreadComposition'!$O$2:$O$99,"Fibre",'4_BreadComposition'!$P$2:$P$99),_xlpm.f,_xlfn._xlws.FILTER(_xlpm.col,(TRIM('4_BreadComposition'!$D$2:$D$99)=TRIM($H30))*('4_BreadComposition'!$E$2:$E$99=$F30)*('4_BreadComposition'!$B$2:$B$99=$G30)*ISNUMBER(_xlpm.col)),_xlfn.STDEV.S(_xlpm.f)),"")</f>
        <v>2.4748737341529162E-3</v>
      </c>
      <c r="K30" s="160"/>
    </row>
    <row r="31" spans="1:11" ht="14.5" x14ac:dyDescent="0.35">
      <c r="F31" s="178" t="s">
        <v>19</v>
      </c>
      <c r="G31" s="179" t="s">
        <v>135</v>
      </c>
      <c r="H31" s="180" t="s">
        <v>10</v>
      </c>
      <c r="I31" s="181" cm="1">
        <f t="array" ref="I31">IFERROR(_xlfn.LET(_xlpm.col,_xlfn.SWITCH($F31,"Moisture",'4_BreadComposition'!$K$2:$K$99,"Ash",'4_BreadComposition'!$M$2:$M$99,"Protein",'4_BreadComposition'!$O$2:$O$99,"Fibre",'4_BreadComposition'!$P$2:$P$99),_xlpm.f,_xlfn._xlws.FILTER(_xlpm.col,(TRIM('4_BreadComposition'!$D$2:$D$99)=TRIM($H31))*('4_BreadComposition'!$E$2:$E$99=$F31)*('4_BreadComposition'!$B$2:$B$99=$G31)*ISNUMBER(_xlpm.col)),AVERAGE(_xlpm.f)),"")</f>
        <v>0.12079999999999999</v>
      </c>
      <c r="J31" s="182" cm="1">
        <f t="array" ref="J31">IFERROR(_xlfn.LET(_xlpm.col,_xlfn.SWITCH($F31,"Moisture",'4_BreadComposition'!$K$2:$K$99,"Ash",'4_BreadComposition'!$M$2:$M$99,"Protein",'4_BreadComposition'!$O$2:$O$99,"Fibre",'4_BreadComposition'!$P$2:$P$99),_xlpm.f,_xlfn._xlws.FILTER(_xlpm.col,(TRIM('4_BreadComposition'!$D$2:$D$99)=TRIM($H31))*('4_BreadComposition'!$E$2:$E$99=$F31)*('4_BreadComposition'!$B$2:$B$99=$G31)*ISNUMBER(_xlpm.col)),_xlfn.STDEV.S(_xlpm.f)),"")</f>
        <v>5.6568542494924443E-4</v>
      </c>
      <c r="K31" s="160"/>
    </row>
    <row r="32" spans="1:11" ht="14.5" x14ac:dyDescent="0.35">
      <c r="F32" s="165" t="s">
        <v>19</v>
      </c>
      <c r="G32" s="161" t="s">
        <v>135</v>
      </c>
      <c r="H32" s="1" t="s">
        <v>12</v>
      </c>
      <c r="I32" s="162" cm="1">
        <f t="array" ref="I32">IFERROR(_xlfn.LET(_xlpm.col,_xlfn.SWITCH($F32,"Moisture",'4_BreadComposition'!$K$2:$K$99,"Ash",'4_BreadComposition'!$M$2:$M$99,"Protein",'4_BreadComposition'!$O$2:$O$99,"Fibre",'4_BreadComposition'!$P$2:$P$99),_xlpm.f,_xlfn._xlws.FILTER(_xlpm.col,(TRIM('4_BreadComposition'!$D$2:$D$99)=TRIM($H32))*('4_BreadComposition'!$E$2:$E$99=$F32)*('4_BreadComposition'!$B$2:$B$99=$G32)*ISNUMBER(_xlpm.col)),AVERAGE(_xlpm.f)),"")</f>
        <v>0.13395000000000001</v>
      </c>
      <c r="J32" s="166" cm="1">
        <f t="array" ref="J32">IFERROR(_xlfn.LET(_xlpm.col,_xlfn.SWITCH($F32,"Moisture",'4_BreadComposition'!$K$2:$K$99,"Ash",'4_BreadComposition'!$M$2:$M$99,"Protein",'4_BreadComposition'!$O$2:$O$99,"Fibre",'4_BreadComposition'!$P$2:$P$99),_xlpm.f,_xlfn._xlws.FILTER(_xlpm.col,(TRIM('4_BreadComposition'!$D$2:$D$99)=TRIM($H32))*('4_BreadComposition'!$E$2:$E$99=$F32)*('4_BreadComposition'!$B$2:$B$99=$G32)*ISNUMBER(_xlpm.col)),_xlfn.STDEV.S(_xlpm.f)),"")</f>
        <v>5.4447222151364251E-3</v>
      </c>
      <c r="K32" s="160"/>
    </row>
    <row r="33" spans="6:11" ht="14.5" x14ac:dyDescent="0.35">
      <c r="F33" s="165" t="s">
        <v>19</v>
      </c>
      <c r="G33" s="161" t="s">
        <v>135</v>
      </c>
      <c r="H33" s="1" t="s">
        <v>25</v>
      </c>
      <c r="I33" s="162" cm="1">
        <f t="array" ref="I33">IFERROR(_xlfn.LET(_xlpm.col,_xlfn.SWITCH($F33,"Moisture",'4_BreadComposition'!$K$2:$K$99,"Ash",'4_BreadComposition'!$M$2:$M$99,"Protein",'4_BreadComposition'!$O$2:$O$99,"Fibre",'4_BreadComposition'!$P$2:$P$99),_xlpm.f,_xlfn._xlws.FILTER(_xlpm.col,(TRIM('4_BreadComposition'!$D$2:$D$99)=TRIM($H33))*('4_BreadComposition'!$E$2:$E$99=$F33)*('4_BreadComposition'!$B$2:$B$99=$G33)*ISNUMBER(_xlpm.col)),AVERAGE(_xlpm.f)),"")</f>
        <v>0.13730000000000001</v>
      </c>
      <c r="J33" s="166" cm="1">
        <f t="array" ref="J33">IFERROR(_xlfn.LET(_xlpm.col,_xlfn.SWITCH($F33,"Moisture",'4_BreadComposition'!$K$2:$K$99,"Ash",'4_BreadComposition'!$M$2:$M$99,"Protein",'4_BreadComposition'!$O$2:$O$99,"Fibre",'4_BreadComposition'!$P$2:$P$99),_xlpm.f,_xlfn._xlws.FILTER(_xlpm.col,(TRIM('4_BreadComposition'!$D$2:$D$99)=TRIM($H33))*('4_BreadComposition'!$E$2:$E$99=$F33)*('4_BreadComposition'!$B$2:$B$99=$G33)*ISNUMBER(_xlpm.col)),_xlfn.STDEV.S(_xlpm.f)),"")</f>
        <v>1.6970562748477233E-3</v>
      </c>
      <c r="K33" s="160"/>
    </row>
    <row r="34" spans="6:11" ht="15" customHeight="1" x14ac:dyDescent="0.35">
      <c r="F34" s="165" t="s">
        <v>19</v>
      </c>
      <c r="G34" s="161" t="s">
        <v>135</v>
      </c>
      <c r="H34" s="1" t="s">
        <v>16</v>
      </c>
      <c r="I34" s="162" cm="1">
        <f t="array" ref="I34">IFERROR(_xlfn.LET(_xlpm.col,_xlfn.SWITCH($F34,"Moisture",'4_BreadComposition'!$K$2:$K$99,"Ash",'4_BreadComposition'!$M$2:$M$99,"Protein",'4_BreadComposition'!$O$2:$O$99,"Fibre",'4_BreadComposition'!$P$2:$P$99),_xlpm.f,_xlfn._xlws.FILTER(_xlpm.col,(TRIM('4_BreadComposition'!$D$2:$D$99)=TRIM($H34))*('4_BreadComposition'!$E$2:$E$99=$F34)*('4_BreadComposition'!$B$2:$B$99=$G34)*ISNUMBER(_xlpm.col)),AVERAGE(_xlpm.f)),"")</f>
        <v>0.1268</v>
      </c>
      <c r="J34" s="166" cm="1">
        <f t="array" ref="J34">IFERROR(_xlfn.LET(_xlpm.col,_xlfn.SWITCH($F34,"Moisture",'4_BreadComposition'!$K$2:$K$99,"Ash",'4_BreadComposition'!$M$2:$M$99,"Protein",'4_BreadComposition'!$O$2:$O$99,"Fibre",'4_BreadComposition'!$P$2:$P$99),_xlpm.f,_xlfn._xlws.FILTER(_xlpm.col,(TRIM('4_BreadComposition'!$D$2:$D$99)=TRIM($H34))*('4_BreadComposition'!$E$2:$E$99=$F34)*('4_BreadComposition'!$B$2:$B$99=$G34)*ISNUMBER(_xlpm.col)),_xlfn.STDEV.S(_xlpm.f)),"")</f>
        <v>2.8284271247462709E-4</v>
      </c>
      <c r="K34" s="160"/>
    </row>
    <row r="35" spans="6:11" ht="15" customHeight="1" x14ac:dyDescent="0.35">
      <c r="F35" s="165" t="s">
        <v>19</v>
      </c>
      <c r="G35" s="161" t="s">
        <v>135</v>
      </c>
      <c r="H35" s="1" t="s">
        <v>18</v>
      </c>
      <c r="I35" s="162" cm="1">
        <f t="array" ref="I35">IFERROR(_xlfn.LET(_xlpm.col,_xlfn.SWITCH($F35,"Moisture",'4_BreadComposition'!$K$2:$K$99,"Ash",'4_BreadComposition'!$M$2:$M$99,"Protein",'4_BreadComposition'!$O$2:$O$99,"Fibre",'4_BreadComposition'!$P$2:$P$99),_xlpm.f,_xlfn._xlws.FILTER(_xlpm.col,(TRIM('4_BreadComposition'!$D$2:$D$99)=TRIM($H35))*('4_BreadComposition'!$E$2:$E$99=$F35)*('4_BreadComposition'!$B$2:$B$99=$G35)*ISNUMBER(_xlpm.col)),AVERAGE(_xlpm.f)),"")</f>
        <v>0.14094999999999999</v>
      </c>
      <c r="J35" s="166" cm="1">
        <f t="array" ref="J35">IFERROR(_xlfn.LET(_xlpm.col,_xlfn.SWITCH($F35,"Moisture",'4_BreadComposition'!$K$2:$K$99,"Ash",'4_BreadComposition'!$M$2:$M$99,"Protein",'4_BreadComposition'!$O$2:$O$99,"Fibre",'4_BreadComposition'!$P$2:$P$99),_xlpm.f,_xlfn._xlws.FILTER(_xlpm.col,(TRIM('4_BreadComposition'!$D$2:$D$99)=TRIM($H35))*('4_BreadComposition'!$E$2:$E$99=$F35)*('4_BreadComposition'!$B$2:$B$99=$G35)*ISNUMBER(_xlpm.col)),_xlfn.STDEV.S(_xlpm.f)),"")</f>
        <v>1.4849242404917434E-3</v>
      </c>
      <c r="K35" s="160"/>
    </row>
    <row r="36" spans="6:11" ht="15" customHeight="1" x14ac:dyDescent="0.35">
      <c r="F36" s="165" t="s">
        <v>19</v>
      </c>
      <c r="G36" s="161" t="s">
        <v>136</v>
      </c>
      <c r="H36" s="1" t="s">
        <v>10</v>
      </c>
      <c r="I36" s="162" cm="1">
        <f t="array" ref="I36">IFERROR(_xlfn.LET(_xlpm.col,_xlfn.SWITCH($F36,"Moisture",'4_BreadComposition'!$K$2:$K$99,"Ash",'4_BreadComposition'!$M$2:$M$99,"Protein",'4_BreadComposition'!$O$2:$O$99,"Fibre",'4_BreadComposition'!$P$2:$P$99),_xlpm.f,_xlfn._xlws.FILTER(_xlpm.col,(TRIM('4_BreadComposition'!$D$2:$D$99)=TRIM($H36))*('4_BreadComposition'!$E$2:$E$99=$F36)*('4_BreadComposition'!$B$2:$B$99=$G36)*ISNUMBER(_xlpm.col)),AVERAGE(_xlpm.f)),"")</f>
        <v>0.1075</v>
      </c>
      <c r="J36" s="166" cm="1">
        <f t="array" ref="J36">IFERROR(_xlfn.LET(_xlpm.col,_xlfn.SWITCH($F36,"Moisture",'4_BreadComposition'!$K$2:$K$99,"Ash",'4_BreadComposition'!$M$2:$M$99,"Protein",'4_BreadComposition'!$O$2:$O$99,"Fibre",'4_BreadComposition'!$P$2:$P$99),_xlpm.f,_xlfn._xlws.FILTER(_xlpm.col,(TRIM('4_BreadComposition'!$D$2:$D$99)=TRIM($H36))*('4_BreadComposition'!$E$2:$E$99=$F36)*('4_BreadComposition'!$B$2:$B$99=$G36)*ISNUMBER(_xlpm.col)),_xlfn.STDEV.S(_xlpm.f)),"")</f>
        <v>3.1112698372208199E-3</v>
      </c>
      <c r="K36" s="160"/>
    </row>
    <row r="37" spans="6:11" ht="15" customHeight="1" x14ac:dyDescent="0.35">
      <c r="F37" s="165" t="s">
        <v>19</v>
      </c>
      <c r="G37" s="161" t="s">
        <v>136</v>
      </c>
      <c r="H37" s="1" t="s">
        <v>16</v>
      </c>
      <c r="I37" s="162" cm="1">
        <f t="array" ref="I37">IFERROR(_xlfn.LET(_xlpm.col,_xlfn.SWITCH($F37,"Moisture",'4_BreadComposition'!$K$2:$K$99,"Ash",'4_BreadComposition'!$M$2:$M$99,"Protein",'4_BreadComposition'!$O$2:$O$99,"Fibre",'4_BreadComposition'!$P$2:$P$99),_xlpm.f,_xlfn._xlws.FILTER(_xlpm.col,(TRIM('4_BreadComposition'!$D$2:$D$99)=TRIM($H37))*('4_BreadComposition'!$E$2:$E$99=$F37)*('4_BreadComposition'!$B$2:$B$99=$G37)*ISNUMBER(_xlpm.col)),AVERAGE(_xlpm.f)),"")</f>
        <v>0.11065</v>
      </c>
      <c r="J37" s="166" cm="1">
        <f t="array" ref="J37">IFERROR(_xlfn.LET(_xlpm.col,_xlfn.SWITCH($F37,"Moisture",'4_BreadComposition'!$K$2:$K$99,"Ash",'4_BreadComposition'!$M$2:$M$99,"Protein",'4_BreadComposition'!$O$2:$O$99,"Fibre",'4_BreadComposition'!$P$2:$P$99),_xlpm.f,_xlfn._xlws.FILTER(_xlpm.col,(TRIM('4_BreadComposition'!$D$2:$D$99)=TRIM($H37))*('4_BreadComposition'!$E$2:$E$99=$F37)*('4_BreadComposition'!$B$2:$B$99=$G37)*ISNUMBER(_xlpm.col)),_xlfn.STDEV.S(_xlpm.f)),"")</f>
        <v>2.1920310216783012E-3</v>
      </c>
      <c r="K37" s="160"/>
    </row>
    <row r="38" spans="6:11" ht="15" customHeight="1" x14ac:dyDescent="0.35">
      <c r="F38" s="165" t="s">
        <v>19</v>
      </c>
      <c r="G38" s="161" t="s">
        <v>136</v>
      </c>
      <c r="H38" s="1" t="s">
        <v>18</v>
      </c>
      <c r="I38" s="162" cm="1">
        <f t="array" ref="I38">IFERROR(_xlfn.LET(_xlpm.col,_xlfn.SWITCH($F38,"Moisture",'4_BreadComposition'!$K$2:$K$99,"Ash",'4_BreadComposition'!$M$2:$M$99,"Protein",'4_BreadComposition'!$O$2:$O$99,"Fibre",'4_BreadComposition'!$P$2:$P$99),_xlpm.f,_xlfn._xlws.FILTER(_xlpm.col,(TRIM('4_BreadComposition'!$D$2:$D$99)=TRIM($H38))*('4_BreadComposition'!$E$2:$E$99=$F38)*('4_BreadComposition'!$B$2:$B$99=$G38)*ISNUMBER(_xlpm.col)),AVERAGE(_xlpm.f)),"")</f>
        <v>0.11404999999999998</v>
      </c>
      <c r="J38" s="166" cm="1">
        <f t="array" ref="J38">IFERROR(_xlfn.LET(_xlpm.col,_xlfn.SWITCH($F38,"Moisture",'4_BreadComposition'!$K$2:$K$99,"Ash",'4_BreadComposition'!$M$2:$M$99,"Protein",'4_BreadComposition'!$O$2:$O$99,"Fibre",'4_BreadComposition'!$P$2:$P$99),_xlpm.f,_xlfn._xlws.FILTER(_xlpm.col,(TRIM('4_BreadComposition'!$D$2:$D$99)=TRIM($H38))*('4_BreadComposition'!$E$2:$E$99=$F38)*('4_BreadComposition'!$B$2:$B$99=$G38)*ISNUMBER(_xlpm.col)),_xlfn.STDEV.S(_xlpm.f)),"")</f>
        <v>6.3639610306789136E-4</v>
      </c>
      <c r="K38" s="160"/>
    </row>
    <row r="39" spans="6:11" ht="15" customHeight="1" x14ac:dyDescent="0.35">
      <c r="F39" s="165" t="s">
        <v>19</v>
      </c>
      <c r="G39" s="161" t="s">
        <v>136</v>
      </c>
      <c r="H39" s="1" t="s">
        <v>20</v>
      </c>
      <c r="I39" s="162" cm="1">
        <f t="array" ref="I39">IFERROR(_xlfn.LET(_xlpm.col,_xlfn.SWITCH($F39,"Moisture",'4_BreadComposition'!$K$2:$K$99,"Ash",'4_BreadComposition'!$M$2:$M$99,"Protein",'4_BreadComposition'!$O$2:$O$99,"Fibre",'4_BreadComposition'!$P$2:$P$99),_xlpm.f,_xlfn._xlws.FILTER(_xlpm.col,(TRIM('4_BreadComposition'!$D$2:$D$99)=TRIM($H39))*('4_BreadComposition'!$E$2:$E$99=$F39)*('4_BreadComposition'!$B$2:$B$99=$G39)*ISNUMBER(_xlpm.col)),AVERAGE(_xlpm.f)),"")</f>
        <v>0.12245</v>
      </c>
      <c r="J39" s="166" cm="1">
        <f t="array" ref="J39">IFERROR(_xlfn.LET(_xlpm.col,_xlfn.SWITCH($F39,"Moisture",'4_BreadComposition'!$K$2:$K$99,"Ash",'4_BreadComposition'!$M$2:$M$99,"Protein",'4_BreadComposition'!$O$2:$O$99,"Fibre",'4_BreadComposition'!$P$2:$P$99),_xlpm.f,_xlfn._xlws.FILTER(_xlpm.col,(TRIM('4_BreadComposition'!$D$2:$D$99)=TRIM($H39))*('4_BreadComposition'!$E$2:$E$99=$F39)*('4_BreadComposition'!$B$2:$B$99=$G39)*ISNUMBER(_xlpm.col)),_xlfn.STDEV.S(_xlpm.f)),"")</f>
        <v>1.110157646462879E-2</v>
      </c>
      <c r="K39" s="160"/>
    </row>
    <row r="40" spans="6:11" ht="15" customHeight="1" x14ac:dyDescent="0.35">
      <c r="F40" s="165" t="s">
        <v>19</v>
      </c>
      <c r="G40" s="161" t="s">
        <v>136</v>
      </c>
      <c r="H40" s="1" t="s">
        <v>21</v>
      </c>
      <c r="I40" s="162" cm="1">
        <f t="array" ref="I40">IFERROR(_xlfn.LET(_xlpm.col,_xlfn.SWITCH($F40,"Moisture",'4_BreadComposition'!$K$2:$K$99,"Ash",'4_BreadComposition'!$M$2:$M$99,"Protein",'4_BreadComposition'!$O$2:$O$99,"Fibre",'4_BreadComposition'!$P$2:$P$99),_xlpm.f,_xlfn._xlws.FILTER(_xlpm.col,(TRIM('4_BreadComposition'!$D$2:$D$99)=TRIM($H40))*('4_BreadComposition'!$E$2:$E$99=$F40)*('4_BreadComposition'!$B$2:$B$99=$G40)*ISNUMBER(_xlpm.col)),AVERAGE(_xlpm.f)),"")</f>
        <v>0.14499999999999999</v>
      </c>
      <c r="J40" s="166" cm="1">
        <f t="array" ref="J40">IFERROR(_xlfn.LET(_xlpm.col,_xlfn.SWITCH($F40,"Moisture",'4_BreadComposition'!$K$2:$K$99,"Ash",'4_BreadComposition'!$M$2:$M$99,"Protein",'4_BreadComposition'!$O$2:$O$99,"Fibre",'4_BreadComposition'!$P$2:$P$99),_xlpm.f,_xlfn._xlws.FILTER(_xlpm.col,(TRIM('4_BreadComposition'!$D$2:$D$99)=TRIM($H40))*('4_BreadComposition'!$E$2:$E$99=$F40)*('4_BreadComposition'!$B$2:$B$99=$G40)*ISNUMBER(_xlpm.col)),_xlfn.STDEV.S(_xlpm.f)),"")</f>
        <v>3.959797974644662E-3</v>
      </c>
      <c r="K40" s="160"/>
    </row>
    <row r="41" spans="6:11" ht="15" customHeight="1" x14ac:dyDescent="0.35">
      <c r="F41" s="165" t="s">
        <v>19</v>
      </c>
      <c r="G41" s="161" t="s">
        <v>136</v>
      </c>
      <c r="H41" s="1" t="s">
        <v>22</v>
      </c>
      <c r="I41" s="162" cm="1">
        <f t="array" ref="I41">IFERROR(_xlfn.LET(_xlpm.col,_xlfn.SWITCH($F41,"Moisture",'4_BreadComposition'!$K$2:$K$99,"Ash",'4_BreadComposition'!$M$2:$M$99,"Protein",'4_BreadComposition'!$O$2:$O$99,"Fibre",'4_BreadComposition'!$P$2:$P$99),_xlpm.f,_xlfn._xlws.FILTER(_xlpm.col,(TRIM('4_BreadComposition'!$D$2:$D$99)=TRIM($H41))*('4_BreadComposition'!$E$2:$E$99=$F41)*('4_BreadComposition'!$B$2:$B$99=$G41)*ISNUMBER(_xlpm.col)),AVERAGE(_xlpm.f)),"")</f>
        <v>0.12260000000000001</v>
      </c>
      <c r="J41" s="166" cm="1">
        <f t="array" ref="J41">IFERROR(_xlfn.LET(_xlpm.col,_xlfn.SWITCH($F41,"Moisture",'4_BreadComposition'!$K$2:$K$99,"Ash",'4_BreadComposition'!$M$2:$M$99,"Protein",'4_BreadComposition'!$O$2:$O$99,"Fibre",'4_BreadComposition'!$P$2:$P$99),_xlpm.f,_xlfn._xlws.FILTER(_xlpm.col,(TRIM('4_BreadComposition'!$D$2:$D$99)=TRIM($H41))*('4_BreadComposition'!$E$2:$E$99=$F41)*('4_BreadComposition'!$B$2:$B$99=$G41)*ISNUMBER(_xlpm.col)),_xlfn.STDEV.S(_xlpm.f)),"")</f>
        <v>7.071067811865383E-4</v>
      </c>
      <c r="K41" s="160"/>
    </row>
    <row r="42" spans="6:11" ht="15" customHeight="1" x14ac:dyDescent="0.35">
      <c r="F42" s="165" t="s">
        <v>19</v>
      </c>
      <c r="G42" s="161" t="s">
        <v>136</v>
      </c>
      <c r="H42" s="1" t="s">
        <v>23</v>
      </c>
      <c r="I42" s="162" cm="1">
        <f t="array" ref="I42">IFERROR(_xlfn.LET(_xlpm.col,_xlfn.SWITCH($F42,"Moisture",'4_BreadComposition'!$K$2:$K$99,"Ash",'4_BreadComposition'!$M$2:$M$99,"Protein",'4_BreadComposition'!$O$2:$O$99,"Fibre",'4_BreadComposition'!$P$2:$P$99),_xlpm.f,_xlfn._xlws.FILTER(_xlpm.col,(TRIM('4_BreadComposition'!$D$2:$D$99)=TRIM($H42))*('4_BreadComposition'!$E$2:$E$99=$F42)*('4_BreadComposition'!$B$2:$B$99=$G42)*ISNUMBER(_xlpm.col)),AVERAGE(_xlpm.f)),"")</f>
        <v>0.13564999999999999</v>
      </c>
      <c r="J42" s="166" cm="1">
        <f t="array" ref="J42">IFERROR(_xlfn.LET(_xlpm.col,_xlfn.SWITCH($F42,"Moisture",'4_BreadComposition'!$K$2:$K$99,"Ash",'4_BreadComposition'!$M$2:$M$99,"Protein",'4_BreadComposition'!$O$2:$O$99,"Fibre",'4_BreadComposition'!$P$2:$P$99),_xlpm.f,_xlfn._xlws.FILTER(_xlpm.col,(TRIM('4_BreadComposition'!$D$2:$D$99)=TRIM($H42))*('4_BreadComposition'!$E$2:$E$99=$F42)*('4_BreadComposition'!$B$2:$B$99=$G42)*ISNUMBER(_xlpm.col)),_xlfn.STDEV.S(_xlpm.f)),"")</f>
        <v>5.5861435713737192E-3</v>
      </c>
      <c r="K42" s="160"/>
    </row>
    <row r="43" spans="6:11" ht="15" customHeight="1" x14ac:dyDescent="0.35">
      <c r="F43" s="165" t="s">
        <v>19</v>
      </c>
      <c r="G43" s="161" t="s">
        <v>136</v>
      </c>
      <c r="H43" s="1" t="s">
        <v>26</v>
      </c>
      <c r="I43" s="162" cm="1">
        <f t="array" ref="I43">IFERROR(_xlfn.LET(_xlpm.col,_xlfn.SWITCH($F43,"Moisture",'4_BreadComposition'!$K$2:$K$99,"Ash",'4_BreadComposition'!$M$2:$M$99,"Protein",'4_BreadComposition'!$O$2:$O$99,"Fibre",'4_BreadComposition'!$P$2:$P$99),_xlpm.f,_xlfn._xlws.FILTER(_xlpm.col,(TRIM('4_BreadComposition'!$D$2:$D$99)=TRIM($H43))*('4_BreadComposition'!$E$2:$E$99=$F43)*('4_BreadComposition'!$B$2:$B$99=$G43)*ISNUMBER(_xlpm.col)),AVERAGE(_xlpm.f)),"")</f>
        <v>0.13295000000000001</v>
      </c>
      <c r="J43" s="166" cm="1">
        <f t="array" ref="J43">IFERROR(_xlfn.LET(_xlpm.col,_xlfn.SWITCH($F43,"Moisture",'4_BreadComposition'!$K$2:$K$99,"Ash",'4_BreadComposition'!$M$2:$M$99,"Protein",'4_BreadComposition'!$O$2:$O$99,"Fibre",'4_BreadComposition'!$P$2:$P$99),_xlpm.f,_xlfn._xlws.FILTER(_xlpm.col,(TRIM('4_BreadComposition'!$D$2:$D$99)=TRIM($H43))*('4_BreadComposition'!$E$2:$E$99=$F43)*('4_BreadComposition'!$B$2:$B$99=$G43)*ISNUMBER(_xlpm.col)),_xlfn.STDEV.S(_xlpm.f)),"")</f>
        <v>7.7781745930521472E-4</v>
      </c>
      <c r="K43" s="160"/>
    </row>
    <row r="44" spans="6:11" ht="15" customHeight="1" thickBot="1" x14ac:dyDescent="0.4">
      <c r="F44" s="169" t="s">
        <v>19</v>
      </c>
      <c r="G44" s="170" t="s">
        <v>136</v>
      </c>
      <c r="H44" s="171" t="s">
        <v>27</v>
      </c>
      <c r="I44" s="183" cm="1">
        <f t="array" ref="I44">IFERROR(_xlfn.LET(_xlpm.col,_xlfn.SWITCH($F44,"Moisture",'4_BreadComposition'!$K$2:$K$99,"Ash",'4_BreadComposition'!$M$2:$M$99,"Protein",'4_BreadComposition'!$O$2:$O$99,"Fibre",'4_BreadComposition'!$P$2:$P$99),_xlpm.f,_xlfn._xlws.FILTER(_xlpm.col,(TRIM('4_BreadComposition'!$D$2:$D$99)=TRIM($H44))*('4_BreadComposition'!$E$2:$E$99=$F44)*('4_BreadComposition'!$B$2:$B$99=$G44)*ISNUMBER(_xlpm.col)),AVERAGE(_xlpm.f)),"")</f>
        <v>0.13719999999999999</v>
      </c>
      <c r="J44" s="184" cm="1">
        <f t="array" ref="J44">IFERROR(_xlfn.LET(_xlpm.col,_xlfn.SWITCH($F44,"Moisture",'4_BreadComposition'!$K$2:$K$99,"Ash",'4_BreadComposition'!$M$2:$M$99,"Protein",'4_BreadComposition'!$O$2:$O$99,"Fibre",'4_BreadComposition'!$P$2:$P$99),_xlpm.f,_xlfn._xlws.FILTER(_xlpm.col,(TRIM('4_BreadComposition'!$D$2:$D$99)=TRIM($H44))*('4_BreadComposition'!$E$2:$E$99=$F44)*('4_BreadComposition'!$B$2:$B$99=$G44)*ISNUMBER(_xlpm.col)),_xlfn.STDEV.S(_xlpm.f)),"")</f>
        <v>1.4142135623731355E-4</v>
      </c>
      <c r="K44" s="160"/>
    </row>
    <row r="45" spans="6:11" ht="15" customHeight="1" x14ac:dyDescent="0.35">
      <c r="F45" s="178" t="s">
        <v>28</v>
      </c>
      <c r="G45" s="179" t="s">
        <v>135</v>
      </c>
      <c r="H45" s="180" t="s">
        <v>10</v>
      </c>
      <c r="I45" s="181" cm="1">
        <f t="array" ref="I45">IFERROR(_xlfn.LET(_xlpm.col,_xlfn.SWITCH($F45,"Moisture",'4_BreadComposition'!$K$2:$K$99,"Ash",'4_BreadComposition'!$M$2:$M$99,"Protein",'4_BreadComposition'!$O$2:$O$99,"Fibre",'4_BreadComposition'!$P$2:$P$99),_xlpm.f,_xlfn._xlws.FILTER(_xlpm.col,(TRIM('4_BreadComposition'!$D$2:$D$99)=TRIM($H45))*('4_BreadComposition'!$E$2:$E$99=$F45)*('4_BreadComposition'!$B$2:$B$99=$G45)*ISNUMBER(_xlpm.col)),AVERAGE(_xlpm.f)),"")</f>
        <v>0</v>
      </c>
      <c r="J45" s="182" cm="1">
        <f t="array" ref="J45">IFERROR(_xlfn.LET(_xlpm.col,_xlfn.SWITCH($F45,"Moisture",'4_BreadComposition'!$K$2:$K$99,"Ash",'4_BreadComposition'!$M$2:$M$99,"Protein",'4_BreadComposition'!$O$2:$O$99,"Fibre",'4_BreadComposition'!$P$2:$P$99),_xlpm.f,_xlfn._xlws.FILTER(_xlpm.col,(TRIM('4_BreadComposition'!$D$2:$D$99)=TRIM($H45))*('4_BreadComposition'!$E$2:$E$99=$F45)*('4_BreadComposition'!$B$2:$B$99=$G45)*ISNUMBER(_xlpm.col)),_xlfn.STDEV.S(_xlpm.f)),"")</f>
        <v>0</v>
      </c>
      <c r="K45" s="160"/>
    </row>
    <row r="46" spans="6:11" ht="15" customHeight="1" x14ac:dyDescent="0.35">
      <c r="F46" s="165" t="s">
        <v>28</v>
      </c>
      <c r="G46" s="161" t="s">
        <v>135</v>
      </c>
      <c r="H46" s="1" t="s">
        <v>12</v>
      </c>
      <c r="I46" s="162" cm="1">
        <f t="array" ref="I46">IFERROR(_xlfn.LET(_xlpm.col,_xlfn.SWITCH($F46,"Moisture",'4_BreadComposition'!$K$2:$K$99,"Ash",'4_BreadComposition'!$M$2:$M$99,"Protein",'4_BreadComposition'!$O$2:$O$99,"Fibre",'4_BreadComposition'!$P$2:$P$99),_xlpm.f,_xlfn._xlws.FILTER(_xlpm.col,(TRIM('4_BreadComposition'!$D$2:$D$99)=TRIM($H46))*('4_BreadComposition'!$E$2:$E$99=$F46)*('4_BreadComposition'!$B$2:$B$99=$G46)*ISNUMBER(_xlpm.col)),AVERAGE(_xlpm.f)),"")</f>
        <v>9.1500000000000001E-3</v>
      </c>
      <c r="J46" s="166" cm="1">
        <f t="array" ref="J46">IFERROR(_xlfn.LET(_xlpm.col,_xlfn.SWITCH($F46,"Moisture",'4_BreadComposition'!$K$2:$K$99,"Ash",'4_BreadComposition'!$M$2:$M$99,"Protein",'4_BreadComposition'!$O$2:$O$99,"Fibre",'4_BreadComposition'!$P$2:$P$99),_xlpm.f,_xlfn._xlws.FILTER(_xlpm.col,(TRIM('4_BreadComposition'!$D$2:$D$99)=TRIM($H46))*('4_BreadComposition'!$E$2:$E$99=$F46)*('4_BreadComposition'!$B$2:$B$99=$G46)*ISNUMBER(_xlpm.col)),_xlfn.STDEV.S(_xlpm.f)),"")</f>
        <v>3.1819805153394621E-3</v>
      </c>
      <c r="K46" s="160"/>
    </row>
    <row r="47" spans="6:11" ht="15" customHeight="1" x14ac:dyDescent="0.35">
      <c r="F47" s="165" t="s">
        <v>28</v>
      </c>
      <c r="G47" s="161" t="s">
        <v>135</v>
      </c>
      <c r="H47" s="1" t="s">
        <v>25</v>
      </c>
      <c r="I47" s="162" cm="1">
        <f t="array" ref="I47">IFERROR(_xlfn.LET(_xlpm.col,_xlfn.SWITCH($F47,"Moisture",'4_BreadComposition'!$K$2:$K$99,"Ash",'4_BreadComposition'!$M$2:$M$99,"Protein",'4_BreadComposition'!$O$2:$O$99,"Fibre",'4_BreadComposition'!$P$2:$P$99),_xlpm.f,_xlfn._xlws.FILTER(_xlpm.col,(TRIM('4_BreadComposition'!$D$2:$D$99)=TRIM($H47))*('4_BreadComposition'!$E$2:$E$99=$F47)*('4_BreadComposition'!$B$2:$B$99=$G47)*ISNUMBER(_xlpm.col)),AVERAGE(_xlpm.f)),"")</f>
        <v>3.015E-2</v>
      </c>
      <c r="J47" s="166" cm="1">
        <f t="array" ref="J47">IFERROR(_xlfn.LET(_xlpm.col,_xlfn.SWITCH($F47,"Moisture",'4_BreadComposition'!$K$2:$K$99,"Ash",'4_BreadComposition'!$M$2:$M$99,"Protein",'4_BreadComposition'!$O$2:$O$99,"Fibre",'4_BreadComposition'!$P$2:$P$99),_xlpm.f,_xlfn._xlws.FILTER(_xlpm.col,(TRIM('4_BreadComposition'!$D$2:$D$99)=TRIM($H47))*('4_BreadComposition'!$E$2:$E$99=$F47)*('4_BreadComposition'!$B$2:$B$99=$G47)*ISNUMBER(_xlpm.col)),_xlfn.STDEV.S(_xlpm.f)),"")</f>
        <v>2.6162950903902272E-3</v>
      </c>
      <c r="K47" s="160"/>
    </row>
    <row r="48" spans="6:11" ht="15" customHeight="1" x14ac:dyDescent="0.35">
      <c r="F48" s="165" t="s">
        <v>28</v>
      </c>
      <c r="G48" s="161" t="s">
        <v>135</v>
      </c>
      <c r="H48" s="1" t="s">
        <v>16</v>
      </c>
      <c r="I48" s="162" cm="1">
        <f t="array" ref="I48">IFERROR(_xlfn.LET(_xlpm.col,_xlfn.SWITCH($F48,"Moisture",'4_BreadComposition'!$K$2:$K$99,"Ash",'4_BreadComposition'!$M$2:$M$99,"Protein",'4_BreadComposition'!$O$2:$O$99,"Fibre",'4_BreadComposition'!$P$2:$P$99),_xlpm.f,_xlfn._xlws.FILTER(_xlpm.col,(TRIM('4_BreadComposition'!$D$2:$D$99)=TRIM($H48))*('4_BreadComposition'!$E$2:$E$99=$F48)*('4_BreadComposition'!$B$2:$B$99=$G48)*ISNUMBER(_xlpm.col)),AVERAGE(_xlpm.f)),"")</f>
        <v>1.3399999999999999E-2</v>
      </c>
      <c r="J48" s="166" cm="1">
        <f t="array" ref="J48">IFERROR(_xlfn.LET(_xlpm.col,_xlfn.SWITCH($F48,"Moisture",'4_BreadComposition'!$K$2:$K$99,"Ash",'4_BreadComposition'!$M$2:$M$99,"Protein",'4_BreadComposition'!$O$2:$O$99,"Fibre",'4_BreadComposition'!$P$2:$P$99),_xlpm.f,_xlfn._xlws.FILTER(_xlpm.col,(TRIM('4_BreadComposition'!$D$2:$D$99)=TRIM($H48))*('4_BreadComposition'!$E$2:$E$99=$F48)*('4_BreadComposition'!$B$2:$B$99=$G48)*ISNUMBER(_xlpm.col)),_xlfn.STDEV.S(_xlpm.f)),"")</f>
        <v>7.0710678118654697E-4</v>
      </c>
      <c r="K48" s="160"/>
    </row>
    <row r="49" spans="6:11" ht="15" customHeight="1" x14ac:dyDescent="0.35">
      <c r="F49" s="165" t="s">
        <v>28</v>
      </c>
      <c r="G49" s="161" t="s">
        <v>135</v>
      </c>
      <c r="H49" s="1" t="s">
        <v>18</v>
      </c>
      <c r="I49" s="162" cm="1">
        <f t="array" ref="I49">IFERROR(_xlfn.LET(_xlpm.col,_xlfn.SWITCH($F49,"Moisture",'4_BreadComposition'!$K$2:$K$99,"Ash",'4_BreadComposition'!$M$2:$M$99,"Protein",'4_BreadComposition'!$O$2:$O$99,"Fibre",'4_BreadComposition'!$P$2:$P$99),_xlpm.f,_xlfn._xlws.FILTER(_xlpm.col,(TRIM('4_BreadComposition'!$D$2:$D$99)=TRIM($H49))*('4_BreadComposition'!$E$2:$E$99=$F49)*('4_BreadComposition'!$B$2:$B$99=$G49)*ISNUMBER(_xlpm.col)),AVERAGE(_xlpm.f)),"")</f>
        <v>2.63E-2</v>
      </c>
      <c r="J49" s="166" cm="1">
        <f t="array" ref="J49">IFERROR(_xlfn.LET(_xlpm.col,_xlfn.SWITCH($F49,"Moisture",'4_BreadComposition'!$K$2:$K$99,"Ash",'4_BreadComposition'!$M$2:$M$99,"Protein",'4_BreadComposition'!$O$2:$O$99,"Fibre",'4_BreadComposition'!$P$2:$P$99),_xlpm.f,_xlfn._xlws.FILTER(_xlpm.col,(TRIM('4_BreadComposition'!$D$2:$D$99)=TRIM($H49))*('4_BreadComposition'!$E$2:$E$99=$F49)*('4_BreadComposition'!$B$2:$B$99=$G49)*ISNUMBER(_xlpm.col)),_xlfn.STDEV.S(_xlpm.f)),"")</f>
        <v>3.8183766184073579E-3</v>
      </c>
      <c r="K49" s="160"/>
    </row>
    <row r="50" spans="6:11" ht="15" customHeight="1" x14ac:dyDescent="0.35">
      <c r="F50" s="165" t="s">
        <v>28</v>
      </c>
      <c r="G50" s="161" t="s">
        <v>136</v>
      </c>
      <c r="H50" s="1" t="s">
        <v>10</v>
      </c>
      <c r="I50" s="162" cm="1">
        <f t="array" ref="I50">IFERROR(_xlfn.LET(_xlpm.col,_xlfn.SWITCH($F50,"Moisture",'4_BreadComposition'!$K$2:$K$99,"Ash",'4_BreadComposition'!$M$2:$M$99,"Protein",'4_BreadComposition'!$O$2:$O$99,"Fibre",'4_BreadComposition'!$P$2:$P$99),_xlpm.f,_xlfn._xlws.FILTER(_xlpm.col,(TRIM('4_BreadComposition'!$D$2:$D$99)=TRIM($H50))*('4_BreadComposition'!$E$2:$E$99=$F50)*('4_BreadComposition'!$B$2:$B$99=$G50)*ISNUMBER(_xlpm.col)),AVERAGE(_xlpm.f)),"")</f>
        <v>0</v>
      </c>
      <c r="J50" s="166" cm="1">
        <f t="array" ref="J50">IFERROR(_xlfn.LET(_xlpm.col,_xlfn.SWITCH($F50,"Moisture",'4_BreadComposition'!$K$2:$K$99,"Ash",'4_BreadComposition'!$M$2:$M$99,"Protein",'4_BreadComposition'!$O$2:$O$99,"Fibre",'4_BreadComposition'!$P$2:$P$99),_xlpm.f,_xlfn._xlws.FILTER(_xlpm.col,(TRIM('4_BreadComposition'!$D$2:$D$99)=TRIM($H50))*('4_BreadComposition'!$E$2:$E$99=$F50)*('4_BreadComposition'!$B$2:$B$99=$G50)*ISNUMBER(_xlpm.col)),_xlfn.STDEV.S(_xlpm.f)),"")</f>
        <v>0</v>
      </c>
      <c r="K50" s="160"/>
    </row>
    <row r="51" spans="6:11" ht="15" customHeight="1" x14ac:dyDescent="0.35">
      <c r="F51" s="165" t="s">
        <v>28</v>
      </c>
      <c r="G51" s="161" t="s">
        <v>136</v>
      </c>
      <c r="H51" s="1" t="s">
        <v>16</v>
      </c>
      <c r="I51" s="162" cm="1">
        <f t="array" ref="I51">IFERROR(_xlfn.LET(_xlpm.col,_xlfn.SWITCH($F51,"Moisture",'4_BreadComposition'!$K$2:$K$99,"Ash",'4_BreadComposition'!$M$2:$M$99,"Protein",'4_BreadComposition'!$O$2:$O$99,"Fibre",'4_BreadComposition'!$P$2:$P$99),_xlpm.f,_xlfn._xlws.FILTER(_xlpm.col,(TRIM('4_BreadComposition'!$D$2:$D$99)=TRIM($H51))*('4_BreadComposition'!$E$2:$E$99=$F51)*('4_BreadComposition'!$B$2:$B$99=$G51)*ISNUMBER(_xlpm.col)),AVERAGE(_xlpm.f)),"")</f>
        <v>2.7000000000000001E-3</v>
      </c>
      <c r="J51" s="166" cm="1">
        <f t="array" ref="J51">IFERROR(_xlfn.LET(_xlpm.col,_xlfn.SWITCH($F51,"Moisture",'4_BreadComposition'!$K$2:$K$99,"Ash",'4_BreadComposition'!$M$2:$M$99,"Protein",'4_BreadComposition'!$O$2:$O$99,"Fibre",'4_BreadComposition'!$P$2:$P$99),_xlpm.f,_xlfn._xlws.FILTER(_xlpm.col,(TRIM('4_BreadComposition'!$D$2:$D$99)=TRIM($H51))*('4_BreadComposition'!$E$2:$E$99=$F51)*('4_BreadComposition'!$B$2:$B$99=$G51)*ISNUMBER(_xlpm.col)),_xlfn.STDEV.S(_xlpm.f)),"")</f>
        <v>3.2526911934581183E-3</v>
      </c>
      <c r="K51" s="160"/>
    </row>
    <row r="52" spans="6:11" ht="15" customHeight="1" x14ac:dyDescent="0.35">
      <c r="F52" s="165" t="s">
        <v>28</v>
      </c>
      <c r="G52" s="161" t="s">
        <v>136</v>
      </c>
      <c r="H52" s="1" t="s">
        <v>18</v>
      </c>
      <c r="I52" s="162" cm="1">
        <f t="array" ref="I52">IFERROR(_xlfn.LET(_xlpm.col,_xlfn.SWITCH($F52,"Moisture",'4_BreadComposition'!$K$2:$K$99,"Ash",'4_BreadComposition'!$M$2:$M$99,"Protein",'4_BreadComposition'!$O$2:$O$99,"Fibre",'4_BreadComposition'!$P$2:$P$99),_xlpm.f,_xlfn._xlws.FILTER(_xlpm.col,(TRIM('4_BreadComposition'!$D$2:$D$99)=TRIM($H52))*('4_BreadComposition'!$E$2:$E$99=$F52)*('4_BreadComposition'!$B$2:$B$99=$G52)*ISNUMBER(_xlpm.col)),AVERAGE(_xlpm.f)),"")</f>
        <v>1.7849999999999998E-2</v>
      </c>
      <c r="J52" s="166" cm="1">
        <f t="array" ref="J52">IFERROR(_xlfn.LET(_xlpm.col,_xlfn.SWITCH($F52,"Moisture",'4_BreadComposition'!$K$2:$K$99,"Ash",'4_BreadComposition'!$M$2:$M$99,"Protein",'4_BreadComposition'!$O$2:$O$99,"Fibre",'4_BreadComposition'!$P$2:$P$99),_xlpm.f,_xlfn._xlws.FILTER(_xlpm.col,(TRIM('4_BreadComposition'!$D$2:$D$99)=TRIM($H52))*('4_BreadComposition'!$E$2:$E$99=$F52)*('4_BreadComposition'!$B$2:$B$99=$G52)*ISNUMBER(_xlpm.col)),_xlfn.STDEV.S(_xlpm.f)),"")</f>
        <v>2.4748737341529158E-3</v>
      </c>
      <c r="K52" s="160"/>
    </row>
    <row r="53" spans="6:11" ht="15" customHeight="1" x14ac:dyDescent="0.35">
      <c r="F53" s="165" t="s">
        <v>28</v>
      </c>
      <c r="G53" s="161" t="s">
        <v>136</v>
      </c>
      <c r="H53" s="1" t="s">
        <v>20</v>
      </c>
      <c r="I53" s="162" cm="1">
        <f t="array" ref="I53">IFERROR(_xlfn.LET(_xlpm.col,_xlfn.SWITCH($F53,"Moisture",'4_BreadComposition'!$K$2:$K$99,"Ash",'4_BreadComposition'!$M$2:$M$99,"Protein",'4_BreadComposition'!$O$2:$O$99,"Fibre",'4_BreadComposition'!$P$2:$P$99),_xlpm.f,_xlfn._xlws.FILTER(_xlpm.col,(TRIM('4_BreadComposition'!$D$2:$D$99)=TRIM($H53))*('4_BreadComposition'!$E$2:$E$99=$F53)*('4_BreadComposition'!$B$2:$B$99=$G53)*ISNUMBER(_xlpm.col)),AVERAGE(_xlpm.f)),"")</f>
        <v>0</v>
      </c>
      <c r="J53" s="166" cm="1">
        <f t="array" ref="J53">IFERROR(_xlfn.LET(_xlpm.col,_xlfn.SWITCH($F53,"Moisture",'4_BreadComposition'!$K$2:$K$99,"Ash",'4_BreadComposition'!$M$2:$M$99,"Protein",'4_BreadComposition'!$O$2:$O$99,"Fibre",'4_BreadComposition'!$P$2:$P$99),_xlpm.f,_xlfn._xlws.FILTER(_xlpm.col,(TRIM('4_BreadComposition'!$D$2:$D$99)=TRIM($H53))*('4_BreadComposition'!$E$2:$E$99=$F53)*('4_BreadComposition'!$B$2:$B$99=$G53)*ISNUMBER(_xlpm.col)),_xlfn.STDEV.S(_xlpm.f)),"")</f>
        <v>0</v>
      </c>
      <c r="K53" s="160"/>
    </row>
    <row r="54" spans="6:11" ht="15" customHeight="1" x14ac:dyDescent="0.35">
      <c r="F54" s="165" t="s">
        <v>28</v>
      </c>
      <c r="G54" s="161" t="s">
        <v>136</v>
      </c>
      <c r="H54" s="1" t="s">
        <v>21</v>
      </c>
      <c r="I54" s="162" cm="1">
        <f t="array" ref="I54">IFERROR(_xlfn.LET(_xlpm.col,_xlfn.SWITCH($F54,"Moisture",'4_BreadComposition'!$K$2:$K$99,"Ash",'4_BreadComposition'!$M$2:$M$99,"Protein",'4_BreadComposition'!$O$2:$O$99,"Fibre",'4_BreadComposition'!$P$2:$P$99),_xlpm.f,_xlfn._xlws.FILTER(_xlpm.col,(TRIM('4_BreadComposition'!$D$2:$D$99)=TRIM($H54))*('4_BreadComposition'!$E$2:$E$99=$F54)*('4_BreadComposition'!$B$2:$B$99=$G54)*ISNUMBER(_xlpm.col)),AVERAGE(_xlpm.f)),"")</f>
        <v>5.8999999999999999E-3</v>
      </c>
      <c r="J54" s="166" cm="1">
        <f t="array" ref="J54">IFERROR(_xlfn.LET(_xlpm.col,_xlfn.SWITCH($F54,"Moisture",'4_BreadComposition'!$K$2:$K$99,"Ash",'4_BreadComposition'!$M$2:$M$99,"Protein",'4_BreadComposition'!$O$2:$O$99,"Fibre",'4_BreadComposition'!$P$2:$P$99),_xlpm.f,_xlfn._xlws.FILTER(_xlpm.col,(TRIM('4_BreadComposition'!$D$2:$D$99)=TRIM($H54))*('4_BreadComposition'!$E$2:$E$99=$F54)*('4_BreadComposition'!$B$2:$B$99=$G54)*ISNUMBER(_xlpm.col)),_xlfn.STDEV.S(_xlpm.f)),"")</f>
        <v>9.899494936611668E-4</v>
      </c>
      <c r="K54" s="160"/>
    </row>
    <row r="55" spans="6:11" ht="15" customHeight="1" x14ac:dyDescent="0.35">
      <c r="F55" s="165" t="s">
        <v>28</v>
      </c>
      <c r="G55" s="161" t="s">
        <v>136</v>
      </c>
      <c r="H55" s="1" t="s">
        <v>22</v>
      </c>
      <c r="I55" s="162" cm="1">
        <f t="array" ref="I55">IFERROR(_xlfn.LET(_xlpm.col,_xlfn.SWITCH($F55,"Moisture",'4_BreadComposition'!$K$2:$K$99,"Ash",'4_BreadComposition'!$M$2:$M$99,"Protein",'4_BreadComposition'!$O$2:$O$99,"Fibre",'4_BreadComposition'!$P$2:$P$99),_xlpm.f,_xlfn._xlws.FILTER(_xlpm.col,(TRIM('4_BreadComposition'!$D$2:$D$99)=TRIM($H55))*('4_BreadComposition'!$E$2:$E$99=$F55)*('4_BreadComposition'!$B$2:$B$99=$G55)*ISNUMBER(_xlpm.col)),AVERAGE(_xlpm.f)),"")</f>
        <v>2.2000000000000001E-3</v>
      </c>
      <c r="J55" s="166" cm="1">
        <f t="array" ref="J55">IFERROR(_xlfn.LET(_xlpm.col,_xlfn.SWITCH($F55,"Moisture",'4_BreadComposition'!$K$2:$K$99,"Ash",'4_BreadComposition'!$M$2:$M$99,"Protein",'4_BreadComposition'!$O$2:$O$99,"Fibre",'4_BreadComposition'!$P$2:$P$99),_xlpm.f,_xlfn._xlws.FILTER(_xlpm.col,(TRIM('4_BreadComposition'!$D$2:$D$99)=TRIM($H55))*('4_BreadComposition'!$E$2:$E$99=$F55)*('4_BreadComposition'!$B$2:$B$99=$G55)*ISNUMBER(_xlpm.col)),_xlfn.STDEV.S(_xlpm.f)),"")</f>
        <v>0</v>
      </c>
      <c r="K55" s="160"/>
    </row>
    <row r="56" spans="6:11" ht="15" customHeight="1" x14ac:dyDescent="0.35">
      <c r="F56" s="165" t="s">
        <v>28</v>
      </c>
      <c r="G56" s="161" t="s">
        <v>136</v>
      </c>
      <c r="H56" s="1" t="s">
        <v>23</v>
      </c>
      <c r="I56" s="162" cm="1">
        <f t="array" ref="I56">IFERROR(_xlfn.LET(_xlpm.col,_xlfn.SWITCH($F56,"Moisture",'4_BreadComposition'!$K$2:$K$99,"Ash",'4_BreadComposition'!$M$2:$M$99,"Protein",'4_BreadComposition'!$O$2:$O$99,"Fibre",'4_BreadComposition'!$P$2:$P$99),_xlpm.f,_xlfn._xlws.FILTER(_xlpm.col,(TRIM('4_BreadComposition'!$D$2:$D$99)=TRIM($H56))*('4_BreadComposition'!$E$2:$E$99=$F56)*('4_BreadComposition'!$B$2:$B$99=$G56)*ISNUMBER(_xlpm.col)),AVERAGE(_xlpm.f)),"")</f>
        <v>1.43E-2</v>
      </c>
      <c r="J56" s="166" cm="1">
        <f t="array" ref="J56">IFERROR(_xlfn.LET(_xlpm.col,_xlfn.SWITCH($F56,"Moisture",'4_BreadComposition'!$K$2:$K$99,"Ash",'4_BreadComposition'!$M$2:$M$99,"Protein",'4_BreadComposition'!$O$2:$O$99,"Fibre",'4_BreadComposition'!$P$2:$P$99),_xlpm.f,_xlfn._xlws.FILTER(_xlpm.col,(TRIM('4_BreadComposition'!$D$2:$D$99)=TRIM($H56))*('4_BreadComposition'!$E$2:$E$99=$F56)*('4_BreadComposition'!$B$2:$B$99=$G56)*ISNUMBER(_xlpm.col)),_xlfn.STDEV.S(_xlpm.f)),"")</f>
        <v>3.3941125496954271E-3</v>
      </c>
      <c r="K56" s="160"/>
    </row>
    <row r="57" spans="6:11" ht="15" customHeight="1" x14ac:dyDescent="0.35">
      <c r="F57" s="165" t="s">
        <v>28</v>
      </c>
      <c r="G57" s="161" t="s">
        <v>136</v>
      </c>
      <c r="H57" s="1" t="s">
        <v>26</v>
      </c>
      <c r="I57" s="162" cm="1">
        <f t="array" ref="I57">IFERROR(_xlfn.LET(_xlpm.col,_xlfn.SWITCH($F57,"Moisture",'4_BreadComposition'!$K$2:$K$99,"Ash",'4_BreadComposition'!$M$2:$M$99,"Protein",'4_BreadComposition'!$O$2:$O$99,"Fibre",'4_BreadComposition'!$P$2:$P$99),_xlpm.f,_xlfn._xlws.FILTER(_xlpm.col,(TRIM('4_BreadComposition'!$D$2:$D$99)=TRIM($H57))*('4_BreadComposition'!$E$2:$E$99=$F57)*('4_BreadComposition'!$B$2:$B$99=$G57)*ISNUMBER(_xlpm.col)),AVERAGE(_xlpm.f)),"")</f>
        <v>1E-4</v>
      </c>
      <c r="J57" s="166" cm="1">
        <f t="array" ref="J57">IFERROR(_xlfn.LET(_xlpm.col,_xlfn.SWITCH($F57,"Moisture",'4_BreadComposition'!$K$2:$K$99,"Ash",'4_BreadComposition'!$M$2:$M$99,"Protein",'4_BreadComposition'!$O$2:$O$99,"Fibre",'4_BreadComposition'!$P$2:$P$99),_xlpm.f,_xlfn._xlws.FILTER(_xlpm.col,(TRIM('4_BreadComposition'!$D$2:$D$99)=TRIM($H57))*('4_BreadComposition'!$E$2:$E$99=$F57)*('4_BreadComposition'!$B$2:$B$99=$G57)*ISNUMBER(_xlpm.col)),_xlfn.STDEV.S(_xlpm.f)),"")</f>
        <v>1.4142135623730951E-4</v>
      </c>
      <c r="K57" s="160"/>
    </row>
    <row r="58" spans="6:11" ht="15" customHeight="1" thickBot="1" x14ac:dyDescent="0.4">
      <c r="F58" s="169" t="s">
        <v>28</v>
      </c>
      <c r="G58" s="170" t="s">
        <v>136</v>
      </c>
      <c r="H58" s="171" t="s">
        <v>27</v>
      </c>
      <c r="I58" s="183" cm="1">
        <f t="array" ref="I58">IFERROR(_xlfn.LET(_xlpm.col,_xlfn.SWITCH($F58,"Moisture",'4_BreadComposition'!$K$2:$K$99,"Ash",'4_BreadComposition'!$M$2:$M$99,"Protein",'4_BreadComposition'!$O$2:$O$99,"Fibre",'4_BreadComposition'!$P$2:$P$99),_xlpm.f,_xlfn._xlws.FILTER(_xlpm.col,(TRIM('4_BreadComposition'!$D$2:$D$99)=TRIM($H58))*('4_BreadComposition'!$E$2:$E$99=$F58)*('4_BreadComposition'!$B$2:$B$99=$G58)*ISNUMBER(_xlpm.col)),AVERAGE(_xlpm.f)),"")</f>
        <v>1.4E-3</v>
      </c>
      <c r="J58" s="184" cm="1">
        <f t="array" ref="J58">IFERROR(_xlfn.LET(_xlpm.col,_xlfn.SWITCH($F58,"Moisture",'4_BreadComposition'!$K$2:$K$99,"Ash",'4_BreadComposition'!$M$2:$M$99,"Protein",'4_BreadComposition'!$O$2:$O$99,"Fibre",'4_BreadComposition'!$P$2:$P$99),_xlpm.f,_xlfn._xlws.FILTER(_xlpm.col,(TRIM('4_BreadComposition'!$D$2:$D$99)=TRIM($H58))*('4_BreadComposition'!$E$2:$E$99=$F58)*('4_BreadComposition'!$B$2:$B$99=$G58)*ISNUMBER(_xlpm.col)),_xlfn.STDEV.S(_xlpm.f)),"")</f>
        <v>1.9798989873223332E-3</v>
      </c>
      <c r="K58" s="160"/>
    </row>
    <row r="59" spans="6:11" ht="15" customHeight="1" x14ac:dyDescent="0.35">
      <c r="F59" s="178" t="s">
        <v>29</v>
      </c>
      <c r="G59" s="179" t="s">
        <v>135</v>
      </c>
      <c r="H59" s="180" t="s">
        <v>10</v>
      </c>
      <c r="I59" s="187" cm="1">
        <f t="array" ref="I59">IFERROR(_xlfn.LET(_xlpm.col,_xlfn.SWITCH($F59,"Volume",'3_BreadFormulation&amp;measurements'!$M$3:$M$20,"H/W ratio",'3_BreadFormulation&amp;measurements'!$N$3:$N$20),_xlpm.f,_xlfn._xlws.FILTER(_xlpm.col,(SUBSTITUTE(TRIM('3_BreadFormulation&amp;measurements'!$C$3:$C$20)," ","_")=SUBSTITUTE(TRIM($H59)," ","_"))*('3_BreadFormulation&amp;measurements'!$A$3:$A$20=$G59)*ISNUMBER(_xlpm.col)),AVERAGE(_xlpm.f)),"")</f>
        <v>925</v>
      </c>
      <c r="J59" s="188" t="str" cm="1">
        <f t="array" ref="J59">IFERROR(_xlfn.LET(_xlpm.col,_xlfn.SWITCH($F59,"Volume",'3_BreadFormulation&amp;measurements'!$M$3:$M$20,"H/W ratio",'3_BreadFormulation&amp;measurements'!$N$3:$N$20),_xlpm.f,_xlfn._xlws.FILTER(_xlpm.col,(SUBSTITUTE(TRIM('3_BreadFormulation&amp;measurements'!$C$3:$C$20)," ","_")=SUBSTITUTE(TRIM($H59)," ","_"))*('3_BreadFormulation&amp;measurements'!$A$3:$A$20=$G59)*ISNUMBER(_xlpm.col)),_xlfn.STDEV.S(_xlpm.f)),"")</f>
        <v/>
      </c>
      <c r="K59" s="160"/>
    </row>
    <row r="60" spans="6:11" ht="15" customHeight="1" x14ac:dyDescent="0.35">
      <c r="F60" s="165" t="s">
        <v>29</v>
      </c>
      <c r="G60" s="161" t="s">
        <v>135</v>
      </c>
      <c r="H60" s="1" t="s">
        <v>12</v>
      </c>
      <c r="I60" s="163" cm="1">
        <f t="array" ref="I60">IFERROR(_xlfn.LET(_xlpm.col,_xlfn.SWITCH($F60,"Volume",'3_BreadFormulation&amp;measurements'!$M$3:$M$20,"H/W ratio",'3_BreadFormulation&amp;measurements'!$N$3:$N$20),_xlpm.f,_xlfn._xlws.FILTER(_xlpm.col,(SUBSTITUTE(TRIM('3_BreadFormulation&amp;measurements'!$C$3:$C$20)," ","_")=SUBSTITUTE(TRIM($H60)," ","_"))*('3_BreadFormulation&amp;measurements'!$A$3:$A$20=$G60)*ISNUMBER(_xlpm.col)),AVERAGE(_xlpm.f)),"")</f>
        <v>775</v>
      </c>
      <c r="J60" s="167" t="str" cm="1">
        <f t="array" ref="J60">IFERROR(_xlfn.LET(_xlpm.col,_xlfn.SWITCH($F60,"Volume",'3_BreadFormulation&amp;measurements'!$M$3:$M$20,"H/W ratio",'3_BreadFormulation&amp;measurements'!$N$3:$N$20),_xlpm.f,_xlfn._xlws.FILTER(_xlpm.col,(SUBSTITUTE(TRIM('3_BreadFormulation&amp;measurements'!$C$3:$C$20)," ","_")=SUBSTITUTE(TRIM($H60)," ","_"))*('3_BreadFormulation&amp;measurements'!$A$3:$A$20=$G60)*ISNUMBER(_xlpm.col)),_xlfn.STDEV.S(_xlpm.f)),"")</f>
        <v/>
      </c>
      <c r="K60" s="160"/>
    </row>
    <row r="61" spans="6:11" ht="15" customHeight="1" x14ac:dyDescent="0.35">
      <c r="F61" s="165" t="s">
        <v>29</v>
      </c>
      <c r="G61" s="161" t="s">
        <v>135</v>
      </c>
      <c r="H61" s="1" t="s">
        <v>25</v>
      </c>
      <c r="I61" s="163" cm="1">
        <f t="array" ref="I61">IFERROR(_xlfn.LET(_xlpm.col,_xlfn.SWITCH($F61,"Volume",'3_BreadFormulation&amp;measurements'!$M$3:$M$20,"H/W ratio",'3_BreadFormulation&amp;measurements'!$N$3:$N$20),_xlpm.f,_xlfn._xlws.FILTER(_xlpm.col,(SUBSTITUTE(TRIM('3_BreadFormulation&amp;measurements'!$C$3:$C$20)," ","_")=SUBSTITUTE(TRIM($H61)," ","_"))*('3_BreadFormulation&amp;measurements'!$A$3:$A$20=$G61)*ISNUMBER(_xlpm.col)),AVERAGE(_xlpm.f)),"")</f>
        <v>680</v>
      </c>
      <c r="J61" s="168" t="str" cm="1">
        <f t="array" ref="J61">IFERROR(_xlfn.LET(_xlpm.col,_xlfn.SWITCH($F61,"Volume",'3_BreadFormulation&amp;measurements'!$M$3:$M$20,"H/W ratio",'3_BreadFormulation&amp;measurements'!$N$3:$N$20),_xlpm.f,_xlfn._xlws.FILTER(_xlpm.col,(SUBSTITUTE(TRIM('3_BreadFormulation&amp;measurements'!$C$3:$C$20)," ","_")=SUBSTITUTE(TRIM($H61)," ","_"))*('3_BreadFormulation&amp;measurements'!$A$3:$A$20=$G61)*ISNUMBER(_xlpm.col)),_xlfn.STDEV.S(_xlpm.f)),"")</f>
        <v/>
      </c>
      <c r="K61" s="160"/>
    </row>
    <row r="62" spans="6:11" ht="15" customHeight="1" x14ac:dyDescent="0.35">
      <c r="F62" s="165" t="s">
        <v>29</v>
      </c>
      <c r="G62" s="161" t="s">
        <v>135</v>
      </c>
      <c r="H62" s="1" t="s">
        <v>16</v>
      </c>
      <c r="I62" s="163" cm="1">
        <f t="array" ref="I62">IFERROR(_xlfn.LET(_xlpm.col,_xlfn.SWITCH($F62,"Volume",'3_BreadFormulation&amp;measurements'!$M$3:$M$20,"H/W ratio",'3_BreadFormulation&amp;measurements'!$N$3:$N$20),_xlpm.f,_xlfn._xlws.FILTER(_xlpm.col,(SUBSTITUTE(TRIM('3_BreadFormulation&amp;measurements'!$C$3:$C$20)," ","_")=SUBSTITUTE(TRIM($H62)," ","_"))*('3_BreadFormulation&amp;measurements'!$A$3:$A$20=$G62)*ISNUMBER(_xlpm.col)),AVERAGE(_xlpm.f)),"")</f>
        <v>825</v>
      </c>
      <c r="J62" s="168" t="str" cm="1">
        <f t="array" ref="J62">IFERROR(_xlfn.LET(_xlpm.col,_xlfn.SWITCH($F62,"Volume",'3_BreadFormulation&amp;measurements'!$M$3:$M$20,"H/W ratio",'3_BreadFormulation&amp;measurements'!$N$3:$N$20),_xlpm.f,_xlfn._xlws.FILTER(_xlpm.col,(SUBSTITUTE(TRIM('3_BreadFormulation&amp;measurements'!$C$3:$C$20)," ","_")=SUBSTITUTE(TRIM($H62)," ","_"))*('3_BreadFormulation&amp;measurements'!$A$3:$A$20=$G62)*ISNUMBER(_xlpm.col)),_xlfn.STDEV.S(_xlpm.f)),"")</f>
        <v/>
      </c>
      <c r="K62" s="160"/>
    </row>
    <row r="63" spans="6:11" ht="15" customHeight="1" x14ac:dyDescent="0.35">
      <c r="F63" s="165" t="s">
        <v>29</v>
      </c>
      <c r="G63" s="161" t="s">
        <v>135</v>
      </c>
      <c r="H63" s="1" t="s">
        <v>18</v>
      </c>
      <c r="I63" s="163" cm="1">
        <f t="array" ref="I63">IFERROR(_xlfn.LET(_xlpm.col,_xlfn.SWITCH($F63,"Volume",'3_BreadFormulation&amp;measurements'!$M$3:$M$20,"H/W ratio",'3_BreadFormulation&amp;measurements'!$N$3:$N$20),_xlpm.f,_xlfn._xlws.FILTER(_xlpm.col,(SUBSTITUTE(TRIM('3_BreadFormulation&amp;measurements'!$C$3:$C$20)," ","_")=SUBSTITUTE(TRIM($H63)," ","_"))*('3_BreadFormulation&amp;measurements'!$A$3:$A$20=$G63)*ISNUMBER(_xlpm.col)),AVERAGE(_xlpm.f)),"")</f>
        <v>725</v>
      </c>
      <c r="J63" s="167" t="str" cm="1">
        <f t="array" ref="J63">IFERROR(_xlfn.LET(_xlpm.col,_xlfn.SWITCH($F63,"Volume",'3_BreadFormulation&amp;measurements'!$M$3:$M$20,"H/W ratio",'3_BreadFormulation&amp;measurements'!$N$3:$N$20),_xlpm.f,_xlfn._xlws.FILTER(_xlpm.col,(SUBSTITUTE(TRIM('3_BreadFormulation&amp;measurements'!$C$3:$C$20)," ","_")=SUBSTITUTE(TRIM($H63)," ","_"))*('3_BreadFormulation&amp;measurements'!$A$3:$A$20=$G63)*ISNUMBER(_xlpm.col)),_xlfn.STDEV.S(_xlpm.f)),"")</f>
        <v/>
      </c>
      <c r="K63" s="160"/>
    </row>
    <row r="64" spans="6:11" ht="15" customHeight="1" x14ac:dyDescent="0.35">
      <c r="F64" s="165" t="s">
        <v>29</v>
      </c>
      <c r="G64" s="161" t="s">
        <v>136</v>
      </c>
      <c r="H64" s="1" t="s">
        <v>10</v>
      </c>
      <c r="I64" s="163" cm="1">
        <f t="array" ref="I64">IFERROR(_xlfn.LET(_xlpm.col,_xlfn.SWITCH($F64,"Volume",'3_BreadFormulation&amp;measurements'!$M$3:$M$20,"H/W ratio",'3_BreadFormulation&amp;measurements'!$N$3:$N$20),_xlpm.f,_xlfn._xlws.FILTER(_xlpm.col,(SUBSTITUTE(TRIM('3_BreadFormulation&amp;measurements'!$C$3:$C$20)," ","_")=SUBSTITUTE(TRIM($H64)," ","_"))*('3_BreadFormulation&amp;measurements'!$A$3:$A$20=$G64)*ISNUMBER(_xlpm.col)),AVERAGE(_xlpm.f)),"")</f>
        <v>975</v>
      </c>
      <c r="J64" s="167" t="str" cm="1">
        <f t="array" ref="J64">IFERROR(_xlfn.LET(_xlpm.col,_xlfn.SWITCH($F64,"Volume",'3_BreadFormulation&amp;measurements'!$M$3:$M$20,"H/W ratio",'3_BreadFormulation&amp;measurements'!$N$3:$N$20),_xlpm.f,_xlfn._xlws.FILTER(_xlpm.col,(SUBSTITUTE(TRIM('3_BreadFormulation&amp;measurements'!$C$3:$C$20)," ","_")=SUBSTITUTE(TRIM($H64)," ","_"))*('3_BreadFormulation&amp;measurements'!$A$3:$A$20=$G64)*ISNUMBER(_xlpm.col)),_xlfn.STDEV.S(_xlpm.f)),"")</f>
        <v/>
      </c>
      <c r="K64" s="160"/>
    </row>
    <row r="65" spans="6:11" ht="15" customHeight="1" x14ac:dyDescent="0.35">
      <c r="F65" s="165" t="s">
        <v>29</v>
      </c>
      <c r="G65" s="161" t="s">
        <v>136</v>
      </c>
      <c r="H65" s="1" t="s">
        <v>16</v>
      </c>
      <c r="I65" s="163" cm="1">
        <f t="array" ref="I65">IFERROR(_xlfn.LET(_xlpm.col,_xlfn.SWITCH($F65,"Volume",'3_BreadFormulation&amp;measurements'!$M$3:$M$20,"H/W ratio",'3_BreadFormulation&amp;measurements'!$N$3:$N$20),_xlpm.f,_xlfn._xlws.FILTER(_xlpm.col,(SUBSTITUTE(TRIM('3_BreadFormulation&amp;measurements'!$C$3:$C$20)," ","_")=SUBSTITUTE(TRIM($H65)," ","_"))*('3_BreadFormulation&amp;measurements'!$A$3:$A$20=$G65)*ISNUMBER(_xlpm.col)),AVERAGE(_xlpm.f)),"")</f>
        <v>975</v>
      </c>
      <c r="J65" s="167" t="str" cm="1">
        <f t="array" ref="J65">IFERROR(_xlfn.LET(_xlpm.col,_xlfn.SWITCH($F65,"Volume",'3_BreadFormulation&amp;measurements'!$M$3:$M$20,"H/W ratio",'3_BreadFormulation&amp;measurements'!$N$3:$N$20),_xlpm.f,_xlfn._xlws.FILTER(_xlpm.col,(SUBSTITUTE(TRIM('3_BreadFormulation&amp;measurements'!$C$3:$C$20)," ","_")=SUBSTITUTE(TRIM($H65)," ","_"))*('3_BreadFormulation&amp;measurements'!$A$3:$A$20=$G65)*ISNUMBER(_xlpm.col)),_xlfn.STDEV.S(_xlpm.f)),"")</f>
        <v/>
      </c>
      <c r="K65" s="160"/>
    </row>
    <row r="66" spans="6:11" ht="15" customHeight="1" x14ac:dyDescent="0.35">
      <c r="F66" s="165" t="s">
        <v>29</v>
      </c>
      <c r="G66" s="161" t="s">
        <v>136</v>
      </c>
      <c r="H66" s="1" t="s">
        <v>18</v>
      </c>
      <c r="I66" s="163" cm="1">
        <f t="array" ref="I66">IFERROR(_xlfn.LET(_xlpm.col,_xlfn.SWITCH($F66,"Volume",'3_BreadFormulation&amp;measurements'!$M$3:$M$20,"H/W ratio",'3_BreadFormulation&amp;measurements'!$N$3:$N$20),_xlpm.f,_xlfn._xlws.FILTER(_xlpm.col,(SUBSTITUTE(TRIM('3_BreadFormulation&amp;measurements'!$C$3:$C$20)," ","_")=SUBSTITUTE(TRIM($H66)," ","_"))*('3_BreadFormulation&amp;measurements'!$A$3:$A$20=$G66)*ISNUMBER(_xlpm.col)),AVERAGE(_xlpm.f)),"")</f>
        <v>750</v>
      </c>
      <c r="J66" s="167" t="str" cm="1">
        <f t="array" ref="J66">IFERROR(_xlfn.LET(_xlpm.col,_xlfn.SWITCH($F66,"Volume",'3_BreadFormulation&amp;measurements'!$M$3:$M$20,"H/W ratio",'3_BreadFormulation&amp;measurements'!$N$3:$N$20),_xlpm.f,_xlfn._xlws.FILTER(_xlpm.col,(SUBSTITUTE(TRIM('3_BreadFormulation&amp;measurements'!$C$3:$C$20)," ","_")=SUBSTITUTE(TRIM($H66)," ","_"))*('3_BreadFormulation&amp;measurements'!$A$3:$A$20=$G66)*ISNUMBER(_xlpm.col)),_xlfn.STDEV.S(_xlpm.f)),"")</f>
        <v/>
      </c>
      <c r="K66" s="160"/>
    </row>
    <row r="67" spans="6:11" ht="15" customHeight="1" x14ac:dyDescent="0.35">
      <c r="F67" s="165" t="s">
        <v>29</v>
      </c>
      <c r="G67" s="161" t="s">
        <v>136</v>
      </c>
      <c r="H67" s="1" t="s">
        <v>20</v>
      </c>
      <c r="I67" s="163" cm="1">
        <f t="array" ref="I67">IFERROR(_xlfn.LET(_xlpm.col,_xlfn.SWITCH($F67,"Volume",'3_BreadFormulation&amp;measurements'!$M$3:$M$20,"H/W ratio",'3_BreadFormulation&amp;measurements'!$N$3:$N$20),_xlpm.f,_xlfn._xlws.FILTER(_xlpm.col,(SUBSTITUTE(TRIM('3_BreadFormulation&amp;measurements'!$C$3:$C$20)," ","_")=SUBSTITUTE(TRIM($H67)," ","_"))*('3_BreadFormulation&amp;measurements'!$A$3:$A$20=$G67)*ISNUMBER(_xlpm.col)),AVERAGE(_xlpm.f)),"")</f>
        <v>925</v>
      </c>
      <c r="J67" s="167" t="str" cm="1">
        <f t="array" ref="J67">IFERROR(_xlfn.LET(_xlpm.col,_xlfn.SWITCH($F67,"Volume",'3_BreadFormulation&amp;measurements'!$M$3:$M$20,"H/W ratio",'3_BreadFormulation&amp;measurements'!$N$3:$N$20),_xlpm.f,_xlfn._xlws.FILTER(_xlpm.col,(SUBSTITUTE(TRIM('3_BreadFormulation&amp;measurements'!$C$3:$C$20)," ","_")=SUBSTITUTE(TRIM($H67)," ","_"))*('3_BreadFormulation&amp;measurements'!$A$3:$A$20=$G67)*ISNUMBER(_xlpm.col)),_xlfn.STDEV.S(_xlpm.f)),"")</f>
        <v/>
      </c>
      <c r="K67" s="160"/>
    </row>
    <row r="68" spans="6:11" ht="15" customHeight="1" x14ac:dyDescent="0.35">
      <c r="F68" s="165" t="s">
        <v>29</v>
      </c>
      <c r="G68" s="161" t="s">
        <v>136</v>
      </c>
      <c r="H68" s="1" t="s">
        <v>21</v>
      </c>
      <c r="I68" s="163" cm="1">
        <f t="array" ref="I68">IFERROR(_xlfn.LET(_xlpm.col,_xlfn.SWITCH($F68,"Volume",'3_BreadFormulation&amp;measurements'!$M$3:$M$20,"H/W ratio",'3_BreadFormulation&amp;measurements'!$N$3:$N$20),_xlpm.f,_xlfn._xlws.FILTER(_xlpm.col,(SUBSTITUTE(TRIM('3_BreadFormulation&amp;measurements'!$C$3:$C$20)," ","_")=SUBSTITUTE(TRIM($H68)," ","_"))*('3_BreadFormulation&amp;measurements'!$A$3:$A$20=$G68)*ISNUMBER(_xlpm.col)),AVERAGE(_xlpm.f)),"")</f>
        <v>600</v>
      </c>
      <c r="J68" s="167" t="str" cm="1">
        <f t="array" ref="J68">IFERROR(_xlfn.LET(_xlpm.col,_xlfn.SWITCH($F68,"Volume",'3_BreadFormulation&amp;measurements'!$M$3:$M$20,"H/W ratio",'3_BreadFormulation&amp;measurements'!$N$3:$N$20),_xlpm.f,_xlfn._xlws.FILTER(_xlpm.col,(SUBSTITUTE(TRIM('3_BreadFormulation&amp;measurements'!$C$3:$C$20)," ","_")=SUBSTITUTE(TRIM($H68)," ","_"))*('3_BreadFormulation&amp;measurements'!$A$3:$A$20=$G68)*ISNUMBER(_xlpm.col)),_xlfn.STDEV.S(_xlpm.f)),"")</f>
        <v/>
      </c>
      <c r="K68" s="160"/>
    </row>
    <row r="69" spans="6:11" ht="15" customHeight="1" x14ac:dyDescent="0.35">
      <c r="F69" s="165" t="s">
        <v>29</v>
      </c>
      <c r="G69" s="161" t="s">
        <v>136</v>
      </c>
      <c r="H69" s="1" t="s">
        <v>22</v>
      </c>
      <c r="I69" s="163" cm="1">
        <f t="array" ref="I69">IFERROR(_xlfn.LET(_xlpm.col,_xlfn.SWITCH($F69,"Volume",'3_BreadFormulation&amp;measurements'!$M$3:$M$20,"H/W ratio",'3_BreadFormulation&amp;measurements'!$N$3:$N$20),_xlpm.f,_xlfn._xlws.FILTER(_xlpm.col,(SUBSTITUTE(TRIM('3_BreadFormulation&amp;measurements'!$C$3:$C$20)," ","_")=SUBSTITUTE(TRIM($H69)," ","_"))*('3_BreadFormulation&amp;measurements'!$A$3:$A$20=$G69)*ISNUMBER(_xlpm.col)),AVERAGE(_xlpm.f)),"")</f>
        <v>1050</v>
      </c>
      <c r="J69" s="167" t="str" cm="1">
        <f t="array" ref="J69">IFERROR(_xlfn.LET(_xlpm.col,_xlfn.SWITCH($F69,"Volume",'3_BreadFormulation&amp;measurements'!$M$3:$M$20,"H/W ratio",'3_BreadFormulation&amp;measurements'!$N$3:$N$20),_xlpm.f,_xlfn._xlws.FILTER(_xlpm.col,(SUBSTITUTE(TRIM('3_BreadFormulation&amp;measurements'!$C$3:$C$20)," ","_")=SUBSTITUTE(TRIM($H69)," ","_"))*('3_BreadFormulation&amp;measurements'!$A$3:$A$20=$G69)*ISNUMBER(_xlpm.col)),_xlfn.STDEV.S(_xlpm.f)),"")</f>
        <v/>
      </c>
      <c r="K69" s="160"/>
    </row>
    <row r="70" spans="6:11" ht="15" customHeight="1" x14ac:dyDescent="0.35">
      <c r="F70" s="165" t="s">
        <v>29</v>
      </c>
      <c r="G70" s="161" t="s">
        <v>136</v>
      </c>
      <c r="H70" s="1" t="s">
        <v>23</v>
      </c>
      <c r="I70" s="163" cm="1">
        <f t="array" ref="I70">IFERROR(_xlfn.LET(_xlpm.col,_xlfn.SWITCH($F70,"Volume",'3_BreadFormulation&amp;measurements'!$M$3:$M$20,"H/W ratio",'3_BreadFormulation&amp;measurements'!$N$3:$N$20),_xlpm.f,_xlfn._xlws.FILTER(_xlpm.col,(SUBSTITUTE(TRIM('3_BreadFormulation&amp;measurements'!$C$3:$C$20)," ","_")=SUBSTITUTE(TRIM($H70)," ","_"))*('3_BreadFormulation&amp;measurements'!$A$3:$A$20=$G70)*ISNUMBER(_xlpm.col)),AVERAGE(_xlpm.f)),"")</f>
        <v>850</v>
      </c>
      <c r="J70" s="167" t="str" cm="1">
        <f t="array" ref="J70">IFERROR(_xlfn.LET(_xlpm.col,_xlfn.SWITCH($F70,"Volume",'3_BreadFormulation&amp;measurements'!$M$3:$M$20,"H/W ratio",'3_BreadFormulation&amp;measurements'!$N$3:$N$20),_xlpm.f,_xlfn._xlws.FILTER(_xlpm.col,(SUBSTITUTE(TRIM('3_BreadFormulation&amp;measurements'!$C$3:$C$20)," ","_")=SUBSTITUTE(TRIM($H70)," ","_"))*('3_BreadFormulation&amp;measurements'!$A$3:$A$20=$G70)*ISNUMBER(_xlpm.col)),_xlfn.STDEV.S(_xlpm.f)),"")</f>
        <v/>
      </c>
      <c r="K70" s="160"/>
    </row>
    <row r="71" spans="6:11" ht="15" customHeight="1" x14ac:dyDescent="0.35">
      <c r="F71" s="165" t="s">
        <v>29</v>
      </c>
      <c r="G71" s="161" t="s">
        <v>136</v>
      </c>
      <c r="H71" s="1" t="s">
        <v>26</v>
      </c>
      <c r="I71" s="163" cm="1">
        <f t="array" ref="I71">IFERROR(_xlfn.LET(_xlpm.col,_xlfn.SWITCH($F71,"Volume",'3_BreadFormulation&amp;measurements'!$M$3:$M$20,"H/W ratio",'3_BreadFormulation&amp;measurements'!$N$3:$N$20),_xlpm.f,_xlfn._xlws.FILTER(_xlpm.col,(SUBSTITUTE(TRIM('3_BreadFormulation&amp;measurements'!$C$3:$C$20)," ","_")=SUBSTITUTE(TRIM($H71)," ","_"))*('3_BreadFormulation&amp;measurements'!$A$3:$A$20=$G71)*ISNUMBER(_xlpm.col)),AVERAGE(_xlpm.f)),"")</f>
        <v>725</v>
      </c>
      <c r="J71" s="167" t="str" cm="1">
        <f t="array" ref="J71">IFERROR(_xlfn.LET(_xlpm.col,_xlfn.SWITCH($F71,"Volume",'3_BreadFormulation&amp;measurements'!$M$3:$M$20,"H/W ratio",'3_BreadFormulation&amp;measurements'!$N$3:$N$20),_xlpm.f,_xlfn._xlws.FILTER(_xlpm.col,(SUBSTITUTE(TRIM('3_BreadFormulation&amp;measurements'!$C$3:$C$20)," ","_")=SUBSTITUTE(TRIM($H71)," ","_"))*('3_BreadFormulation&amp;measurements'!$A$3:$A$20=$G71)*ISNUMBER(_xlpm.col)),_xlfn.STDEV.S(_xlpm.f)),"")</f>
        <v/>
      </c>
      <c r="K71" s="160"/>
    </row>
    <row r="72" spans="6:11" ht="15" customHeight="1" thickBot="1" x14ac:dyDescent="0.4">
      <c r="F72" s="169" t="s">
        <v>29</v>
      </c>
      <c r="G72" s="170" t="s">
        <v>136</v>
      </c>
      <c r="H72" s="171" t="s">
        <v>27</v>
      </c>
      <c r="I72" s="189" cm="1">
        <f t="array" ref="I72">IFERROR(_xlfn.LET(_xlpm.col,_xlfn.SWITCH($F72,"Volume",'3_BreadFormulation&amp;measurements'!$M$3:$M$20,"H/W ratio",'3_BreadFormulation&amp;measurements'!$N$3:$N$20),_xlpm.f,_xlfn._xlws.FILTER(_xlpm.col,(SUBSTITUTE(TRIM('3_BreadFormulation&amp;measurements'!$C$3:$C$20)," ","_")=SUBSTITUTE(TRIM($H72)," ","_"))*('3_BreadFormulation&amp;measurements'!$A$3:$A$20=$G72)*ISNUMBER(_xlpm.col)),AVERAGE(_xlpm.f)),"")</f>
        <v>775</v>
      </c>
      <c r="J72" s="173" t="str" cm="1">
        <f t="array" ref="J72">IFERROR(_xlfn.LET(_xlpm.col,_xlfn.SWITCH($F72,"Volume",'3_BreadFormulation&amp;measurements'!$M$3:$M$20,"H/W ratio",'3_BreadFormulation&amp;measurements'!$N$3:$N$20),_xlpm.f,_xlfn._xlws.FILTER(_xlpm.col,(SUBSTITUTE(TRIM('3_BreadFormulation&amp;measurements'!$C$3:$C$20)," ","_")=SUBSTITUTE(TRIM($H72)," ","_"))*('3_BreadFormulation&amp;measurements'!$A$3:$A$20=$G72)*ISNUMBER(_xlpm.col)),_xlfn.STDEV.S(_xlpm.f)),"")</f>
        <v/>
      </c>
      <c r="K72" s="160"/>
    </row>
    <row r="73" spans="6:11" ht="15" customHeight="1" x14ac:dyDescent="0.35">
      <c r="F73" s="176" t="s">
        <v>30</v>
      </c>
      <c r="G73" s="177" t="s">
        <v>135</v>
      </c>
      <c r="H73" s="5" t="s">
        <v>10</v>
      </c>
      <c r="I73" s="186" cm="1">
        <f t="array" ref="I73">IFERROR(_xlfn.LET(_xlpm.col,_xlfn.SWITCH($F73,"Volume",'3_BreadFormulation&amp;measurements'!$M$3:$M$20,"H/W ratio",'3_BreadFormulation&amp;measurements'!$N$3:$N$20),_xlpm.f,_xlfn._xlws.FILTER(_xlpm.col,(SUBSTITUTE(TRIM('3_BreadFormulation&amp;measurements'!$C$3:$C$20)," ","_")=SUBSTITUTE(TRIM($H73)," ","_"))*('3_BreadFormulation&amp;measurements'!$A$3:$A$20=$G73)*ISNUMBER(_xlpm.col)),AVERAGE(_xlpm.f)),"")</f>
        <v>0.95454545454545459</v>
      </c>
      <c r="J73" s="185" t="str" cm="1">
        <f t="array" ref="J73">IFERROR(_xlfn.LET(_xlpm.col,_xlfn.SWITCH($F73,"Volume",'3_BreadFormulation&amp;measurements'!$M$3:$M$20,"H/W ratio",'3_BreadFormulation&amp;measurements'!$N$3:$N$20),_xlpm.f,_xlfn._xlws.FILTER(_xlpm.col,(SUBSTITUTE(TRIM('3_BreadFormulation&amp;measurements'!$C$3:$C$20)," ","_")=SUBSTITUTE(TRIM($H73)," ","_"))*('3_BreadFormulation&amp;measurements'!$A$3:$A$20=$G73)*ISNUMBER(_xlpm.col)),_xlfn.STDEV.S(_xlpm.f)),"")</f>
        <v/>
      </c>
      <c r="K73" s="160"/>
    </row>
    <row r="74" spans="6:11" ht="15" customHeight="1" x14ac:dyDescent="0.35">
      <c r="F74" s="165" t="s">
        <v>30</v>
      </c>
      <c r="G74" s="161" t="s">
        <v>135</v>
      </c>
      <c r="H74" s="1" t="s">
        <v>12</v>
      </c>
      <c r="I74" s="164" cm="1">
        <f t="array" ref="I74">IFERROR(_xlfn.LET(_xlpm.col,_xlfn.SWITCH($F74,"Volume",'3_BreadFormulation&amp;measurements'!$M$3:$M$20,"H/W ratio",'3_BreadFormulation&amp;measurements'!$N$3:$N$20),_xlpm.f,_xlfn._xlws.FILTER(_xlpm.col,(SUBSTITUTE(TRIM('3_BreadFormulation&amp;measurements'!$C$3:$C$20)," ","_")=SUBSTITUTE(TRIM($H74)," ","_"))*('3_BreadFormulation&amp;measurements'!$A$3:$A$20=$G74)*ISNUMBER(_xlpm.col)),AVERAGE(_xlpm.f)),"")</f>
        <v>0.96078431372549034</v>
      </c>
      <c r="J74" s="167" t="str" cm="1">
        <f t="array" ref="J74">IFERROR(_xlfn.LET(_xlpm.col,_xlfn.SWITCH($F74,"Volume",'3_BreadFormulation&amp;measurements'!$M$3:$M$20,"H/W ratio",'3_BreadFormulation&amp;measurements'!$N$3:$N$20),_xlpm.f,_xlfn._xlws.FILTER(_xlpm.col,(SUBSTITUTE(TRIM('3_BreadFormulation&amp;measurements'!$C$3:$C$20)," ","_")=SUBSTITUTE(TRIM($H74)," ","_"))*('3_BreadFormulation&amp;measurements'!$A$3:$A$20=$G74)*ISNUMBER(_xlpm.col)),_xlfn.STDEV.S(_xlpm.f)),"")</f>
        <v/>
      </c>
      <c r="K74" s="160"/>
    </row>
    <row r="75" spans="6:11" ht="15" customHeight="1" x14ac:dyDescent="0.35">
      <c r="F75" s="165" t="s">
        <v>30</v>
      </c>
      <c r="G75" s="161" t="s">
        <v>135</v>
      </c>
      <c r="H75" s="1" t="s">
        <v>25</v>
      </c>
      <c r="I75" s="164" cm="1">
        <f t="array" ref="I75">IFERROR(_xlfn.LET(_xlpm.col,_xlfn.SWITCH($F75,"Volume",'3_BreadFormulation&amp;measurements'!$M$3:$M$20,"H/W ratio",'3_BreadFormulation&amp;measurements'!$N$3:$N$20),_xlpm.f,_xlfn._xlws.FILTER(_xlpm.col,(SUBSTITUTE(TRIM('3_BreadFormulation&amp;measurements'!$C$3:$C$20)," ","_")=SUBSTITUTE(TRIM($H75)," ","_"))*('3_BreadFormulation&amp;measurements'!$A$3:$A$20=$G75)*ISNUMBER(_xlpm.col)),AVERAGE(_xlpm.f)),"")</f>
        <v>0.87378640776699024</v>
      </c>
      <c r="J75" s="167" t="str" cm="1">
        <f t="array" ref="J75">IFERROR(_xlfn.LET(_xlpm.col,_xlfn.SWITCH($F75,"Volume",'3_BreadFormulation&amp;measurements'!$M$3:$M$20,"H/W ratio",'3_BreadFormulation&amp;measurements'!$N$3:$N$20),_xlpm.f,_xlfn._xlws.FILTER(_xlpm.col,(SUBSTITUTE(TRIM('3_BreadFormulation&amp;measurements'!$C$3:$C$20)," ","_")=SUBSTITUTE(TRIM($H75)," ","_"))*('3_BreadFormulation&amp;measurements'!$A$3:$A$20=$G75)*ISNUMBER(_xlpm.col)),_xlfn.STDEV.S(_xlpm.f)),"")</f>
        <v/>
      </c>
      <c r="K75" s="160"/>
    </row>
    <row r="76" spans="6:11" ht="15" customHeight="1" x14ac:dyDescent="0.35">
      <c r="F76" s="165" t="s">
        <v>30</v>
      </c>
      <c r="G76" s="161" t="s">
        <v>135</v>
      </c>
      <c r="H76" s="1" t="s">
        <v>16</v>
      </c>
      <c r="I76" s="164" cm="1">
        <f t="array" ref="I76">IFERROR(_xlfn.LET(_xlpm.col,_xlfn.SWITCH($F76,"Volume",'3_BreadFormulation&amp;measurements'!$M$3:$M$20,"H/W ratio",'3_BreadFormulation&amp;measurements'!$N$3:$N$20),_xlpm.f,_xlfn._xlws.FILTER(_xlpm.col,(SUBSTITUTE(TRIM('3_BreadFormulation&amp;measurements'!$C$3:$C$20)," ","_")=SUBSTITUTE(TRIM($H76)," ","_"))*('3_BreadFormulation&amp;measurements'!$A$3:$A$20=$G76)*ISNUMBER(_xlpm.col)),AVERAGE(_xlpm.f)),"")</f>
        <v>0.96153846153846145</v>
      </c>
      <c r="J76" s="167" t="str" cm="1">
        <f t="array" ref="J76">IFERROR(_xlfn.LET(_xlpm.col,_xlfn.SWITCH($F76,"Volume",'3_BreadFormulation&amp;measurements'!$M$3:$M$20,"H/W ratio",'3_BreadFormulation&amp;measurements'!$N$3:$N$20),_xlpm.f,_xlfn._xlws.FILTER(_xlpm.col,(SUBSTITUTE(TRIM('3_BreadFormulation&amp;measurements'!$C$3:$C$20)," ","_")=SUBSTITUTE(TRIM($H76)," ","_"))*('3_BreadFormulation&amp;measurements'!$A$3:$A$20=$G76)*ISNUMBER(_xlpm.col)),_xlfn.STDEV.S(_xlpm.f)),"")</f>
        <v/>
      </c>
      <c r="K76" s="160"/>
    </row>
    <row r="77" spans="6:11" ht="15" customHeight="1" x14ac:dyDescent="0.35">
      <c r="F77" s="165" t="s">
        <v>30</v>
      </c>
      <c r="G77" s="161" t="s">
        <v>135</v>
      </c>
      <c r="H77" s="1" t="s">
        <v>18</v>
      </c>
      <c r="I77" s="164" cm="1">
        <f t="array" ref="I77">IFERROR(_xlfn.LET(_xlpm.col,_xlfn.SWITCH($F77,"Volume",'3_BreadFormulation&amp;measurements'!$M$3:$M$20,"H/W ratio",'3_BreadFormulation&amp;measurements'!$N$3:$N$20),_xlpm.f,_xlfn._xlws.FILTER(_xlpm.col,(SUBSTITUTE(TRIM('3_BreadFormulation&amp;measurements'!$C$3:$C$20)," ","_")=SUBSTITUTE(TRIM($H77)," ","_"))*('3_BreadFormulation&amp;measurements'!$A$3:$A$20=$G77)*ISNUMBER(_xlpm.col)),AVERAGE(_xlpm.f)),"")</f>
        <v>0.8910891089108911</v>
      </c>
      <c r="J77" s="167" t="str" cm="1">
        <f t="array" ref="J77">IFERROR(_xlfn.LET(_xlpm.col,_xlfn.SWITCH($F77,"Volume",'3_BreadFormulation&amp;measurements'!$M$3:$M$20,"H/W ratio",'3_BreadFormulation&amp;measurements'!$N$3:$N$20),_xlpm.f,_xlfn._xlws.FILTER(_xlpm.col,(SUBSTITUTE(TRIM('3_BreadFormulation&amp;measurements'!$C$3:$C$20)," ","_")=SUBSTITUTE(TRIM($H77)," ","_"))*('3_BreadFormulation&amp;measurements'!$A$3:$A$20=$G77)*ISNUMBER(_xlpm.col)),_xlfn.STDEV.S(_xlpm.f)),"")</f>
        <v/>
      </c>
      <c r="K77" s="160"/>
    </row>
    <row r="78" spans="6:11" ht="15" customHeight="1" x14ac:dyDescent="0.35">
      <c r="F78" s="165" t="s">
        <v>30</v>
      </c>
      <c r="G78" s="161" t="s">
        <v>136</v>
      </c>
      <c r="H78" s="1" t="s">
        <v>10</v>
      </c>
      <c r="I78" s="164" cm="1">
        <f t="array" ref="I78">IFERROR(_xlfn.LET(_xlpm.col,_xlfn.SWITCH($F78,"Volume",'3_BreadFormulation&amp;measurements'!$M$3:$M$20,"H/W ratio",'3_BreadFormulation&amp;measurements'!$N$3:$N$20),_xlpm.f,_xlfn._xlws.FILTER(_xlpm.col,(SUBSTITUTE(TRIM('3_BreadFormulation&amp;measurements'!$C$3:$C$20)," ","_")=SUBSTITUTE(TRIM($H78)," ","_"))*('3_BreadFormulation&amp;measurements'!$A$3:$A$20=$G78)*ISNUMBER(_xlpm.col)),AVERAGE(_xlpm.f)),"")</f>
        <v>1.0275229357798163</v>
      </c>
      <c r="J78" s="167" t="str" cm="1">
        <f t="array" ref="J78">IFERROR(_xlfn.LET(_xlpm.col,_xlfn.SWITCH($F78,"Volume",'3_BreadFormulation&amp;measurements'!$M$3:$M$20,"H/W ratio",'3_BreadFormulation&amp;measurements'!$N$3:$N$20),_xlpm.f,_xlfn._xlws.FILTER(_xlpm.col,(SUBSTITUTE(TRIM('3_BreadFormulation&amp;measurements'!$C$3:$C$20)," ","_")=SUBSTITUTE(TRIM($H78)," ","_"))*('3_BreadFormulation&amp;measurements'!$A$3:$A$20=$G78)*ISNUMBER(_xlpm.col)),_xlfn.STDEV.S(_xlpm.f)),"")</f>
        <v/>
      </c>
      <c r="K78" s="160"/>
    </row>
    <row r="79" spans="6:11" ht="15" customHeight="1" x14ac:dyDescent="0.35">
      <c r="F79" s="165" t="s">
        <v>30</v>
      </c>
      <c r="G79" s="161" t="s">
        <v>136</v>
      </c>
      <c r="H79" s="1" t="s">
        <v>16</v>
      </c>
      <c r="I79" s="164" cm="1">
        <f t="array" ref="I79">IFERROR(_xlfn.LET(_xlpm.col,_xlfn.SWITCH($F79,"Volume",'3_BreadFormulation&amp;measurements'!$M$3:$M$20,"H/W ratio",'3_BreadFormulation&amp;measurements'!$N$3:$N$20),_xlpm.f,_xlfn._xlws.FILTER(_xlpm.col,(SUBSTITUTE(TRIM('3_BreadFormulation&amp;measurements'!$C$3:$C$20)," ","_")=SUBSTITUTE(TRIM($H79)," ","_"))*('3_BreadFormulation&amp;measurements'!$A$3:$A$20=$G79)*ISNUMBER(_xlpm.col)),AVERAGE(_xlpm.f)),"")</f>
        <v>1.0283018867924529</v>
      </c>
      <c r="J79" s="167" t="str" cm="1">
        <f t="array" ref="J79">IFERROR(_xlfn.LET(_xlpm.col,_xlfn.SWITCH($F79,"Volume",'3_BreadFormulation&amp;measurements'!$M$3:$M$20,"H/W ratio",'3_BreadFormulation&amp;measurements'!$N$3:$N$20),_xlpm.f,_xlfn._xlws.FILTER(_xlpm.col,(SUBSTITUTE(TRIM('3_BreadFormulation&amp;measurements'!$C$3:$C$20)," ","_")=SUBSTITUTE(TRIM($H79)," ","_"))*('3_BreadFormulation&amp;measurements'!$A$3:$A$20=$G79)*ISNUMBER(_xlpm.col)),_xlfn.STDEV.S(_xlpm.f)),"")</f>
        <v/>
      </c>
      <c r="K79" s="160"/>
    </row>
    <row r="80" spans="6:11" ht="15" customHeight="1" x14ac:dyDescent="0.35">
      <c r="F80" s="165" t="s">
        <v>30</v>
      </c>
      <c r="G80" s="161" t="s">
        <v>136</v>
      </c>
      <c r="H80" s="1" t="s">
        <v>18</v>
      </c>
      <c r="I80" s="164" cm="1">
        <f t="array" ref="I80">IFERROR(_xlfn.LET(_xlpm.col,_xlfn.SWITCH($F80,"Volume",'3_BreadFormulation&amp;measurements'!$M$3:$M$20,"H/W ratio",'3_BreadFormulation&amp;measurements'!$N$3:$N$20),_xlpm.f,_xlfn._xlws.FILTER(_xlpm.col,(SUBSTITUTE(TRIM('3_BreadFormulation&amp;measurements'!$C$3:$C$20)," ","_")=SUBSTITUTE(TRIM($H80)," ","_"))*('3_BreadFormulation&amp;measurements'!$A$3:$A$20=$G80)*ISNUMBER(_xlpm.col)),AVERAGE(_xlpm.f)),"")</f>
        <v>0.94285714285714284</v>
      </c>
      <c r="J80" s="167" t="str" cm="1">
        <f t="array" ref="J80">IFERROR(_xlfn.LET(_xlpm.col,_xlfn.SWITCH($F80,"Volume",'3_BreadFormulation&amp;measurements'!$M$3:$M$20,"H/W ratio",'3_BreadFormulation&amp;measurements'!$N$3:$N$20),_xlpm.f,_xlfn._xlws.FILTER(_xlpm.col,(SUBSTITUTE(TRIM('3_BreadFormulation&amp;measurements'!$C$3:$C$20)," ","_")=SUBSTITUTE(TRIM($H80)," ","_"))*('3_BreadFormulation&amp;measurements'!$A$3:$A$20=$G80)*ISNUMBER(_xlpm.col)),_xlfn.STDEV.S(_xlpm.f)),"")</f>
        <v/>
      </c>
      <c r="K80" s="160"/>
    </row>
    <row r="81" spans="6:11" ht="15" customHeight="1" x14ac:dyDescent="0.35">
      <c r="F81" s="165" t="s">
        <v>30</v>
      </c>
      <c r="G81" s="161" t="s">
        <v>136</v>
      </c>
      <c r="H81" s="1" t="s">
        <v>20</v>
      </c>
      <c r="I81" s="164" cm="1">
        <f t="array" ref="I81">IFERROR(_xlfn.LET(_xlpm.col,_xlfn.SWITCH($F81,"Volume",'3_BreadFormulation&amp;measurements'!$M$3:$M$20,"H/W ratio",'3_BreadFormulation&amp;measurements'!$N$3:$N$20),_xlpm.f,_xlfn._xlws.FILTER(_xlpm.col,(SUBSTITUTE(TRIM('3_BreadFormulation&amp;measurements'!$C$3:$C$20)," ","_")=SUBSTITUTE(TRIM($H81)," ","_"))*('3_BreadFormulation&amp;measurements'!$A$3:$A$20=$G81)*ISNUMBER(_xlpm.col)),AVERAGE(_xlpm.f)),"")</f>
        <v>1.0092592592592593</v>
      </c>
      <c r="J81" s="167" t="str" cm="1">
        <f t="array" ref="J81">IFERROR(_xlfn.LET(_xlpm.col,_xlfn.SWITCH($F81,"Volume",'3_BreadFormulation&amp;measurements'!$M$3:$M$20,"H/W ratio",'3_BreadFormulation&amp;measurements'!$N$3:$N$20),_xlpm.f,_xlfn._xlws.FILTER(_xlpm.col,(SUBSTITUTE(TRIM('3_BreadFormulation&amp;measurements'!$C$3:$C$20)," ","_")=SUBSTITUTE(TRIM($H81)," ","_"))*('3_BreadFormulation&amp;measurements'!$A$3:$A$20=$G81)*ISNUMBER(_xlpm.col)),_xlfn.STDEV.S(_xlpm.f)),"")</f>
        <v/>
      </c>
      <c r="K81" s="160"/>
    </row>
    <row r="82" spans="6:11" ht="15" customHeight="1" x14ac:dyDescent="0.35">
      <c r="F82" s="165" t="s">
        <v>30</v>
      </c>
      <c r="G82" s="161" t="s">
        <v>136</v>
      </c>
      <c r="H82" s="1" t="s">
        <v>21</v>
      </c>
      <c r="I82" s="164" cm="1">
        <f t="array" ref="I82">IFERROR(_xlfn.LET(_xlpm.col,_xlfn.SWITCH($F82,"Volume",'3_BreadFormulation&amp;measurements'!$M$3:$M$20,"H/W ratio",'3_BreadFormulation&amp;measurements'!$N$3:$N$20),_xlpm.f,_xlfn._xlws.FILTER(_xlpm.col,(SUBSTITUTE(TRIM('3_BreadFormulation&amp;measurements'!$C$3:$C$20)," ","_")=SUBSTITUTE(TRIM($H82)," ","_"))*('3_BreadFormulation&amp;measurements'!$A$3:$A$20=$G82)*ISNUMBER(_xlpm.col)),AVERAGE(_xlpm.f)),"")</f>
        <v>0.81904761904761902</v>
      </c>
      <c r="J82" s="167" t="str" cm="1">
        <f t="array" ref="J82">IFERROR(_xlfn.LET(_xlpm.col,_xlfn.SWITCH($F82,"Volume",'3_BreadFormulation&amp;measurements'!$M$3:$M$20,"H/W ratio",'3_BreadFormulation&amp;measurements'!$N$3:$N$20),_xlpm.f,_xlfn._xlws.FILTER(_xlpm.col,(SUBSTITUTE(TRIM('3_BreadFormulation&amp;measurements'!$C$3:$C$20)," ","_")=SUBSTITUTE(TRIM($H82)," ","_"))*('3_BreadFormulation&amp;measurements'!$A$3:$A$20=$G82)*ISNUMBER(_xlpm.col)),_xlfn.STDEV.S(_xlpm.f)),"")</f>
        <v/>
      </c>
      <c r="K82" s="160"/>
    </row>
    <row r="83" spans="6:11" ht="15" customHeight="1" x14ac:dyDescent="0.35">
      <c r="F83" s="165" t="s">
        <v>30</v>
      </c>
      <c r="G83" s="161" t="s">
        <v>136</v>
      </c>
      <c r="H83" s="1" t="s">
        <v>22</v>
      </c>
      <c r="I83" s="164" cm="1">
        <f t="array" ref="I83">IFERROR(_xlfn.LET(_xlpm.col,_xlfn.SWITCH($F83,"Volume",'3_BreadFormulation&amp;measurements'!$M$3:$M$20,"H/W ratio",'3_BreadFormulation&amp;measurements'!$N$3:$N$20),_xlpm.f,_xlfn._xlws.FILTER(_xlpm.col,(SUBSTITUTE(TRIM('3_BreadFormulation&amp;measurements'!$C$3:$C$20)," ","_")=SUBSTITUTE(TRIM($H83)," ","_"))*('3_BreadFormulation&amp;measurements'!$A$3:$A$20=$G83)*ISNUMBER(_xlpm.col)),AVERAGE(_xlpm.f)),"")</f>
        <v>1.0360360360360361</v>
      </c>
      <c r="J83" s="167" t="str" cm="1">
        <f t="array" ref="J83">IFERROR(_xlfn.LET(_xlpm.col,_xlfn.SWITCH($F83,"Volume",'3_BreadFormulation&amp;measurements'!$M$3:$M$20,"H/W ratio",'3_BreadFormulation&amp;measurements'!$N$3:$N$20),_xlpm.f,_xlfn._xlws.FILTER(_xlpm.col,(SUBSTITUTE(TRIM('3_BreadFormulation&amp;measurements'!$C$3:$C$20)," ","_")=SUBSTITUTE(TRIM($H83)," ","_"))*('3_BreadFormulation&amp;measurements'!$A$3:$A$20=$G83)*ISNUMBER(_xlpm.col)),_xlfn.STDEV.S(_xlpm.f)),"")</f>
        <v/>
      </c>
      <c r="K83" s="160"/>
    </row>
    <row r="84" spans="6:11" ht="15" customHeight="1" x14ac:dyDescent="0.35">
      <c r="F84" s="165" t="s">
        <v>30</v>
      </c>
      <c r="G84" s="161" t="s">
        <v>136</v>
      </c>
      <c r="H84" s="1" t="s">
        <v>23</v>
      </c>
      <c r="I84" s="164" cm="1">
        <f t="array" ref="I84">IFERROR(_xlfn.LET(_xlpm.col,_xlfn.SWITCH($F84,"Volume",'3_BreadFormulation&amp;measurements'!$M$3:$M$20,"H/W ratio",'3_BreadFormulation&amp;measurements'!$N$3:$N$20),_xlpm.f,_xlfn._xlws.FILTER(_xlpm.col,(SUBSTITUTE(TRIM('3_BreadFormulation&amp;measurements'!$C$3:$C$20)," ","_")=SUBSTITUTE(TRIM($H84)," ","_"))*('3_BreadFormulation&amp;measurements'!$A$3:$A$20=$G84)*ISNUMBER(_xlpm.col)),AVERAGE(_xlpm.f)),"")</f>
        <v>0.90909090909090906</v>
      </c>
      <c r="J84" s="167" t="str" cm="1">
        <f t="array" ref="J84">IFERROR(_xlfn.LET(_xlpm.col,_xlfn.SWITCH($F84,"Volume",'3_BreadFormulation&amp;measurements'!$M$3:$M$20,"H/W ratio",'3_BreadFormulation&amp;measurements'!$N$3:$N$20),_xlpm.f,_xlfn._xlws.FILTER(_xlpm.col,(SUBSTITUTE(TRIM('3_BreadFormulation&amp;measurements'!$C$3:$C$20)," ","_")=SUBSTITUTE(TRIM($H84)," ","_"))*('3_BreadFormulation&amp;measurements'!$A$3:$A$20=$G84)*ISNUMBER(_xlpm.col)),_xlfn.STDEV.S(_xlpm.f)),"")</f>
        <v/>
      </c>
      <c r="K84" s="160"/>
    </row>
    <row r="85" spans="6:11" ht="15" customHeight="1" x14ac:dyDescent="0.35">
      <c r="F85" s="165" t="s">
        <v>30</v>
      </c>
      <c r="G85" s="161" t="s">
        <v>136</v>
      </c>
      <c r="H85" s="1" t="s">
        <v>26</v>
      </c>
      <c r="I85" s="164" cm="1">
        <f t="array" ref="I85">IFERROR(_xlfn.LET(_xlpm.col,_xlfn.SWITCH($F85,"Volume",'3_BreadFormulation&amp;measurements'!$M$3:$M$20,"H/W ratio",'3_BreadFormulation&amp;measurements'!$N$3:$N$20),_xlpm.f,_xlfn._xlws.FILTER(_xlpm.col,(SUBSTITUTE(TRIM('3_BreadFormulation&amp;measurements'!$C$3:$C$20)," ","_")=SUBSTITUTE(TRIM($H85)," ","_"))*('3_BreadFormulation&amp;measurements'!$A$3:$A$20=$G85)*ISNUMBER(_xlpm.col)),AVERAGE(_xlpm.f)),"")</f>
        <v>0.99065420560747663</v>
      </c>
      <c r="J85" s="167" t="str" cm="1">
        <f t="array" ref="J85">IFERROR(_xlfn.LET(_xlpm.col,_xlfn.SWITCH($F85,"Volume",'3_BreadFormulation&amp;measurements'!$M$3:$M$20,"H/W ratio",'3_BreadFormulation&amp;measurements'!$N$3:$N$20),_xlpm.f,_xlfn._xlws.FILTER(_xlpm.col,(SUBSTITUTE(TRIM('3_BreadFormulation&amp;measurements'!$C$3:$C$20)," ","_")=SUBSTITUTE(TRIM($H85)," ","_"))*('3_BreadFormulation&amp;measurements'!$A$3:$A$20=$G85)*ISNUMBER(_xlpm.col)),_xlfn.STDEV.S(_xlpm.f)),"")</f>
        <v/>
      </c>
      <c r="K85" s="160"/>
    </row>
    <row r="86" spans="6:11" ht="15" customHeight="1" thickBot="1" x14ac:dyDescent="0.4">
      <c r="F86" s="169" t="s">
        <v>30</v>
      </c>
      <c r="G86" s="170" t="s">
        <v>136</v>
      </c>
      <c r="H86" s="171" t="s">
        <v>27</v>
      </c>
      <c r="I86" s="172" cm="1">
        <f t="array" ref="I86">IFERROR(_xlfn.LET(_xlpm.col,_xlfn.SWITCH($F86,"Volume",'3_BreadFormulation&amp;measurements'!$M$3:$M$20,"H/W ratio",'3_BreadFormulation&amp;measurements'!$N$3:$N$20),_xlpm.f,_xlfn._xlws.FILTER(_xlpm.col,(SUBSTITUTE(TRIM('3_BreadFormulation&amp;measurements'!$C$3:$C$20)," ","_")=SUBSTITUTE(TRIM($H86)," ","_"))*('3_BreadFormulation&amp;measurements'!$A$3:$A$20=$G86)*ISNUMBER(_xlpm.col)),AVERAGE(_xlpm.f)),"")</f>
        <v>0.90476190476190477</v>
      </c>
      <c r="J86" s="173" t="str" cm="1">
        <f t="array" ref="J86">IFERROR(_xlfn.LET(_xlpm.col,_xlfn.SWITCH($F86,"Volume",'3_BreadFormulation&amp;measurements'!$M$3:$M$20,"H/W ratio",'3_BreadFormulation&amp;measurements'!$N$3:$N$20),_xlpm.f,_xlfn._xlws.FILTER(_xlpm.col,(SUBSTITUTE(TRIM('3_BreadFormulation&amp;measurements'!$C$3:$C$20)," ","_")=SUBSTITUTE(TRIM($H86)," ","_"))*('3_BreadFormulation&amp;measurements'!$A$3:$A$20=$G86)*ISNUMBER(_xlpm.col)),_xlfn.STDEV.S(_xlpm.f)),"")</f>
        <v/>
      </c>
      <c r="K86" s="160"/>
    </row>
    <row r="87" spans="6:11" ht="15" customHeight="1" x14ac:dyDescent="0.35">
      <c r="G87" s="24"/>
      <c r="I87" s="87"/>
      <c r="J87" s="160"/>
      <c r="K87" s="160"/>
    </row>
    <row r="88" spans="6:11" ht="15" customHeight="1" x14ac:dyDescent="0.35">
      <c r="G88" s="24"/>
      <c r="I88" s="87"/>
      <c r="J88" s="160"/>
      <c r="K88" s="160"/>
    </row>
    <row r="89" spans="6:11" ht="15" customHeight="1" x14ac:dyDescent="0.35">
      <c r="G89" s="24"/>
      <c r="I89" s="87"/>
      <c r="J89" s="160"/>
      <c r="K89" s="160"/>
    </row>
    <row r="90" spans="6:11" ht="15" customHeight="1" x14ac:dyDescent="0.35">
      <c r="G90" s="24"/>
      <c r="I90" s="87"/>
      <c r="J90" s="160"/>
      <c r="K90" s="160"/>
    </row>
    <row r="91" spans="6:11" ht="15" customHeight="1" x14ac:dyDescent="0.35">
      <c r="G91" s="24"/>
      <c r="I91" s="158"/>
    </row>
    <row r="92" spans="6:11" ht="15" customHeight="1" x14ac:dyDescent="0.35">
      <c r="G92" s="24"/>
      <c r="I92" s="158"/>
    </row>
    <row r="93" spans="6:11" ht="15" customHeight="1" x14ac:dyDescent="0.35">
      <c r="G93" s="24"/>
      <c r="I93" s="158"/>
    </row>
    <row r="94" spans="6:11" ht="15" customHeight="1" x14ac:dyDescent="0.35">
      <c r="G94" s="24"/>
      <c r="I94" s="158"/>
    </row>
    <row r="95" spans="6:11" ht="15" customHeight="1" x14ac:dyDescent="0.35">
      <c r="G95" s="24"/>
      <c r="I95" s="158"/>
    </row>
    <row r="96" spans="6:11" ht="15" customHeight="1" x14ac:dyDescent="0.35">
      <c r="G96" s="24"/>
      <c r="I96" s="158"/>
    </row>
    <row r="97" spans="7:9" ht="15" customHeight="1" x14ac:dyDescent="0.35">
      <c r="G97" s="24"/>
      <c r="I97" s="158"/>
    </row>
    <row r="98" spans="7:9" ht="15" customHeight="1" x14ac:dyDescent="0.35">
      <c r="G98" s="24"/>
      <c r="I98" s="158"/>
    </row>
    <row r="99" spans="7:9" ht="15" customHeight="1" x14ac:dyDescent="0.35">
      <c r="G99" s="24"/>
      <c r="I99" s="158"/>
    </row>
    <row r="100" spans="7:9" ht="15" customHeight="1" x14ac:dyDescent="0.35">
      <c r="G100" s="24"/>
      <c r="I100" s="158"/>
    </row>
    <row r="101" spans="7:9" ht="15" customHeight="1" x14ac:dyDescent="0.35">
      <c r="G101" s="24"/>
      <c r="I101" s="158"/>
    </row>
    <row r="102" spans="7:9" ht="15" customHeight="1" x14ac:dyDescent="0.35">
      <c r="G102" s="24"/>
      <c r="I102" s="158"/>
    </row>
    <row r="103" spans="7:9" ht="15" customHeight="1" x14ac:dyDescent="0.35">
      <c r="G103" s="24"/>
      <c r="I103" s="158"/>
    </row>
    <row r="104" spans="7:9" ht="15" customHeight="1" x14ac:dyDescent="0.35">
      <c r="G104" s="24"/>
      <c r="I104" s="158"/>
    </row>
    <row r="105" spans="7:9" ht="15" customHeight="1" x14ac:dyDescent="0.35">
      <c r="G105" s="24"/>
      <c r="I105" s="158"/>
    </row>
    <row r="106" spans="7:9" ht="15" customHeight="1" x14ac:dyDescent="0.35">
      <c r="G106" s="24"/>
      <c r="I106" s="158"/>
    </row>
    <row r="107" spans="7:9" ht="15" customHeight="1" x14ac:dyDescent="0.35">
      <c r="G107" s="24"/>
      <c r="I107" s="158"/>
    </row>
    <row r="108" spans="7:9" ht="15" customHeight="1" x14ac:dyDescent="0.35">
      <c r="G108" s="24"/>
      <c r="I108" s="158"/>
    </row>
    <row r="109" spans="7:9" ht="15" customHeight="1" x14ac:dyDescent="0.35">
      <c r="G109" s="24"/>
      <c r="I109" s="158"/>
    </row>
    <row r="110" spans="7:9" ht="15" customHeight="1" x14ac:dyDescent="0.35">
      <c r="G110" s="24"/>
      <c r="I110" s="158"/>
    </row>
    <row r="111" spans="7:9" ht="15" customHeight="1" x14ac:dyDescent="0.35">
      <c r="G111" s="24"/>
      <c r="I111" s="158"/>
    </row>
    <row r="112" spans="7:9" ht="15" customHeight="1" x14ac:dyDescent="0.35">
      <c r="G112" s="24"/>
      <c r="I112" s="158"/>
    </row>
    <row r="113" spans="7:9" ht="15" customHeight="1" x14ac:dyDescent="0.35">
      <c r="G113" s="24"/>
      <c r="I113" s="159"/>
    </row>
    <row r="114" spans="7:9" ht="15" customHeight="1" x14ac:dyDescent="0.35">
      <c r="G114" s="24"/>
      <c r="I114" s="159"/>
    </row>
    <row r="115" spans="7:9" ht="15" customHeight="1" x14ac:dyDescent="0.35">
      <c r="G115" s="24"/>
      <c r="I115" s="159"/>
    </row>
    <row r="116" spans="7:9" ht="15" customHeight="1" x14ac:dyDescent="0.35">
      <c r="G116" s="24"/>
      <c r="I116" s="159"/>
    </row>
    <row r="117" spans="7:9" ht="15" customHeight="1" x14ac:dyDescent="0.35">
      <c r="G117" s="24"/>
      <c r="I117" s="159"/>
    </row>
    <row r="118" spans="7:9" ht="15" customHeight="1" x14ac:dyDescent="0.35">
      <c r="G118" s="24"/>
      <c r="I118" s="159"/>
    </row>
    <row r="119" spans="7:9" ht="15" customHeight="1" x14ac:dyDescent="0.35">
      <c r="G119" s="24"/>
      <c r="I119" s="159"/>
    </row>
    <row r="120" spans="7:9" ht="15" customHeight="1" x14ac:dyDescent="0.35">
      <c r="G120" s="24"/>
      <c r="I120" s="159"/>
    </row>
    <row r="121" spans="7:9" ht="15" customHeight="1" x14ac:dyDescent="0.35">
      <c r="G121" s="24"/>
      <c r="I121" s="159"/>
    </row>
    <row r="122" spans="7:9" ht="15" customHeight="1" x14ac:dyDescent="0.35">
      <c r="G122" s="24"/>
      <c r="I122" s="159"/>
    </row>
    <row r="123" spans="7:9" ht="15" customHeight="1" x14ac:dyDescent="0.35">
      <c r="G123" s="24"/>
      <c r="I123" s="159"/>
    </row>
    <row r="124" spans="7:9" ht="15" customHeight="1" x14ac:dyDescent="0.35">
      <c r="G124" s="24"/>
      <c r="I124" s="159"/>
    </row>
    <row r="125" spans="7:9" ht="15" customHeight="1" x14ac:dyDescent="0.35">
      <c r="G125" s="24"/>
      <c r="I125" s="159"/>
    </row>
    <row r="126" spans="7:9" ht="15" customHeight="1" x14ac:dyDescent="0.35">
      <c r="G126" s="24"/>
      <c r="I126" s="159"/>
    </row>
    <row r="127" spans="7:9" ht="15" customHeight="1" x14ac:dyDescent="0.35">
      <c r="G127" s="24"/>
      <c r="I127" s="159"/>
    </row>
    <row r="128" spans="7:9" ht="15" customHeight="1" x14ac:dyDescent="0.35">
      <c r="G128" s="24"/>
      <c r="I128" s="159"/>
    </row>
    <row r="129" spans="7:9" ht="15" customHeight="1" x14ac:dyDescent="0.35">
      <c r="G129" s="24"/>
      <c r="I129" s="159"/>
    </row>
    <row r="130" spans="7:9" ht="15" customHeight="1" x14ac:dyDescent="0.35">
      <c r="G130" s="24"/>
      <c r="I130" s="159"/>
    </row>
    <row r="131" spans="7:9" ht="15" customHeight="1" x14ac:dyDescent="0.35">
      <c r="G131" s="24"/>
      <c r="I131" s="159"/>
    </row>
    <row r="132" spans="7:9" ht="15" customHeight="1" x14ac:dyDescent="0.35">
      <c r="G132" s="24"/>
      <c r="I132" s="159"/>
    </row>
    <row r="133" spans="7:9" ht="15" customHeight="1" x14ac:dyDescent="0.35">
      <c r="G133" s="24"/>
      <c r="I133" s="159"/>
    </row>
    <row r="134" spans="7:9" ht="15" customHeight="1" x14ac:dyDescent="0.35">
      <c r="G134" s="24"/>
      <c r="I134" s="159"/>
    </row>
  </sheetData>
  <mergeCells count="4">
    <mergeCell ref="A1:D1"/>
    <mergeCell ref="L1:O1"/>
    <mergeCell ref="F1:J1"/>
    <mergeCell ref="Q1:AA1"/>
  </mergeCells>
  <conditionalFormatting sqref="A1:O1048576">
    <cfRule type="cellIs" dxfId="4" priority="3" operator="equal">
      <formula>"10% BSG_fraction+70ppmE"</formula>
    </cfRule>
  </conditionalFormatting>
  <conditionalFormatting sqref="Q1">
    <cfRule type="cellIs" dxfId="3" priority="2" operator="equal">
      <formula>"10% BSG_fraction+70ppmE"</formula>
    </cfRule>
  </conditionalFormatting>
  <conditionalFormatting sqref="A1:AA1048576">
    <cfRule type="cellIs" dxfId="0" priority="1" operator="equal">
      <formula>"10% BSG_fraction+70ppmE"</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
  <sheetViews>
    <sheetView showGridLines="0" zoomScale="85" zoomScaleNormal="85" workbookViewId="0">
      <pane xSplit="2" ySplit="1" topLeftCell="C2" activePane="bottomRight" state="frozen"/>
      <selection pane="topRight"/>
      <selection pane="bottomLeft"/>
      <selection pane="bottomRight" activeCell="L9" sqref="L9"/>
    </sheetView>
  </sheetViews>
  <sheetFormatPr defaultColWidth="8.7265625" defaultRowHeight="15" customHeight="1" x14ac:dyDescent="0.35"/>
  <cols>
    <col min="1" max="1" width="5.54296875" style="10" customWidth="1"/>
    <col min="2" max="2" width="26.54296875" style="10" customWidth="1"/>
    <col min="3" max="3" width="24.1796875" style="10" customWidth="1"/>
    <col min="4" max="4" width="12.54296875" style="10" customWidth="1"/>
    <col min="5" max="5" width="9.1796875" style="10" customWidth="1"/>
    <col min="6" max="6" width="9.81640625" style="10" customWidth="1"/>
    <col min="7" max="7" width="13.54296875" style="10" customWidth="1"/>
    <col min="8" max="8" width="11.81640625" style="10" customWidth="1"/>
    <col min="9" max="10" width="12.453125" style="10" customWidth="1"/>
    <col min="11" max="11" width="12.1796875" style="10" customWidth="1"/>
    <col min="12" max="12" width="8.81640625" style="10" customWidth="1"/>
    <col min="13" max="13" width="11.1796875" style="10" customWidth="1"/>
    <col min="14" max="14" width="12.7265625" style="10" customWidth="1"/>
    <col min="15" max="15" width="16.1796875" style="10" customWidth="1"/>
    <col min="16" max="17" width="10.453125" style="10" customWidth="1"/>
    <col min="18" max="18" width="11.26953125" style="10" customWidth="1"/>
    <col min="19" max="19" width="18" style="10" customWidth="1"/>
    <col min="20" max="21" width="8.7265625" style="10"/>
    <col min="22" max="25" width="8.7265625" style="10" customWidth="1"/>
    <col min="26" max="16384" width="8.7265625" style="10"/>
  </cols>
  <sheetData>
    <row r="1" spans="1:19" s="17" customFormat="1" ht="42.75" customHeight="1" x14ac:dyDescent="0.35">
      <c r="A1" s="17" t="s">
        <v>31</v>
      </c>
      <c r="B1" s="17" t="s">
        <v>32</v>
      </c>
      <c r="C1" s="17" t="s">
        <v>4</v>
      </c>
      <c r="D1" s="17" t="s">
        <v>3</v>
      </c>
      <c r="E1" s="17" t="s">
        <v>33</v>
      </c>
      <c r="F1" s="17" t="s">
        <v>34</v>
      </c>
      <c r="G1" s="17" t="s">
        <v>35</v>
      </c>
      <c r="H1" s="17" t="s">
        <v>36</v>
      </c>
      <c r="I1" s="17" t="s">
        <v>37</v>
      </c>
      <c r="J1" s="17" t="s">
        <v>38</v>
      </c>
      <c r="K1" s="17" t="s">
        <v>39</v>
      </c>
      <c r="L1" s="17" t="s">
        <v>17</v>
      </c>
      <c r="M1" s="17" t="s">
        <v>40</v>
      </c>
      <c r="N1" s="17" t="s">
        <v>41</v>
      </c>
      <c r="O1" s="17" t="s">
        <v>42</v>
      </c>
      <c r="P1" s="17" t="s">
        <v>43</v>
      </c>
      <c r="Q1" s="17" t="s">
        <v>44</v>
      </c>
      <c r="R1" s="17" t="s">
        <v>45</v>
      </c>
      <c r="S1" s="17" t="s">
        <v>46</v>
      </c>
    </row>
    <row r="2" spans="1:19" ht="14.5" x14ac:dyDescent="0.35">
      <c r="A2" s="10">
        <v>1</v>
      </c>
      <c r="B2" s="10" t="str">
        <f>_xlfn.CONCAT(C2,"_",D2,"_",E2)</f>
        <v>Flour_Moisture_1</v>
      </c>
      <c r="C2" s="10" t="s">
        <v>10</v>
      </c>
      <c r="D2" s="10" t="s">
        <v>9</v>
      </c>
      <c r="E2" s="10">
        <v>1</v>
      </c>
      <c r="F2" s="10">
        <v>148</v>
      </c>
      <c r="G2" s="10">
        <v>5.0000999999999998</v>
      </c>
      <c r="H2" s="11">
        <f>SUM(_xlfn.XLOOKUP(Table2[[#This Row],[Recipient number]],Extra_RecipientsWeight!A:A,Extra_RecipientsWeight!B:B)+G2)</f>
        <v>29.140999999999998</v>
      </c>
      <c r="I2" s="10">
        <v>28.519400000000001</v>
      </c>
      <c r="J2" s="11">
        <f>Table2[[#This Row],[Incial Weight (g)]]-Table2[[#This Row],[Final Weight (g)]]</f>
        <v>0.62159999999999727</v>
      </c>
      <c r="K2" s="39">
        <f>(Table2[[#This Row],[Incial Weight (g)]]-Table2[[#This Row],[Final Weight (g)]])/Table2[[#This Row],[Sample Weight (g)]]</f>
        <v>0.12431751364972646</v>
      </c>
      <c r="L2" s="15"/>
      <c r="M2" s="12"/>
      <c r="N2" s="12"/>
      <c r="O2" s="12"/>
      <c r="P2" s="12"/>
      <c r="Q2" s="12"/>
      <c r="R2" s="13">
        <v>45947</v>
      </c>
      <c r="S2" s="11"/>
    </row>
    <row r="3" spans="1:19" ht="14.5" x14ac:dyDescent="0.35">
      <c r="A3" s="10">
        <v>2</v>
      </c>
      <c r="B3" s="10" t="str">
        <f t="shared" ref="B3:B31" si="0">_xlfn.CONCAT(C3,"_",D3,"_",E3)</f>
        <v>Flour_Moisture_2</v>
      </c>
      <c r="C3" s="10" t="s">
        <v>10</v>
      </c>
      <c r="D3" s="10" t="s">
        <v>9</v>
      </c>
      <c r="E3" s="10">
        <v>2</v>
      </c>
      <c r="F3" s="10">
        <v>446</v>
      </c>
      <c r="G3" s="11">
        <v>5.0015999999999998</v>
      </c>
      <c r="H3" s="11">
        <f>SUM(_xlfn.XLOOKUP(Table2[[#This Row],[Recipient number]],Extra_RecipientsWeight!A:A,Extra_RecipientsWeight!B:B)+G3)</f>
        <v>32.486199999999997</v>
      </c>
      <c r="I3" s="11">
        <v>31.864599999999999</v>
      </c>
      <c r="J3" s="11">
        <f>Table2[[#This Row],[Incial Weight (g)]]-Table2[[#This Row],[Final Weight (g)]]</f>
        <v>0.62159999999999727</v>
      </c>
      <c r="K3" s="39">
        <f>(Table2[[#This Row],[Incial Weight (g)]]-Table2[[#This Row],[Final Weight (g)]])/Table2[[#This Row],[Sample Weight (g)]]</f>
        <v>0.12428023032629504</v>
      </c>
      <c r="L3" s="15"/>
      <c r="M3" s="15"/>
      <c r="N3" s="12"/>
      <c r="O3" s="12"/>
      <c r="P3" s="12"/>
      <c r="Q3" s="12"/>
      <c r="R3" s="13">
        <v>45947</v>
      </c>
      <c r="S3" s="11"/>
    </row>
    <row r="4" spans="1:19" ht="14.5" x14ac:dyDescent="0.35">
      <c r="A4" s="10">
        <v>3</v>
      </c>
      <c r="B4" s="10" t="str">
        <f t="shared" si="0"/>
        <v>BSG_Moisture_1</v>
      </c>
      <c r="C4" s="10" t="s">
        <v>11</v>
      </c>
      <c r="D4" s="10" t="s">
        <v>9</v>
      </c>
      <c r="E4" s="10">
        <v>1</v>
      </c>
      <c r="F4" s="10">
        <v>485</v>
      </c>
      <c r="G4" s="11">
        <v>5.0014000000000003</v>
      </c>
      <c r="H4" s="11">
        <f>SUM(_xlfn.XLOOKUP(Table2[[#This Row],[Recipient number]],Extra_RecipientsWeight!A:A,Extra_RecipientsWeight!B:B)+G4)</f>
        <v>31.948</v>
      </c>
      <c r="I4" s="11">
        <v>31.705300000000001</v>
      </c>
      <c r="J4" s="11">
        <f>Table2[[#This Row],[Incial Weight (g)]]-Table2[[#This Row],[Final Weight (g)]]</f>
        <v>0.24269999999999925</v>
      </c>
      <c r="K4" s="39">
        <f>(Table2[[#This Row],[Incial Weight (g)]]-Table2[[#This Row],[Final Weight (g)]])/Table2[[#This Row],[Sample Weight (g)]]</f>
        <v>4.8526412604470597E-2</v>
      </c>
      <c r="L4" s="15"/>
      <c r="M4" s="15"/>
      <c r="N4" s="15"/>
      <c r="O4" s="15"/>
      <c r="P4" s="15"/>
      <c r="Q4" s="15"/>
      <c r="R4" s="13">
        <v>45947</v>
      </c>
      <c r="S4" s="11"/>
    </row>
    <row r="5" spans="1:19" ht="14.5" x14ac:dyDescent="0.35">
      <c r="A5" s="10">
        <v>4</v>
      </c>
      <c r="B5" s="10" t="str">
        <f t="shared" si="0"/>
        <v>BSG_Moisture_2</v>
      </c>
      <c r="C5" s="10" t="s">
        <v>11</v>
      </c>
      <c r="D5" s="10" t="s">
        <v>9</v>
      </c>
      <c r="E5" s="10">
        <v>2</v>
      </c>
      <c r="F5" s="10">
        <v>352</v>
      </c>
      <c r="G5" s="11">
        <v>5.0006000000000004</v>
      </c>
      <c r="H5" s="11">
        <f>SUM(_xlfn.XLOOKUP(Table2[[#This Row],[Recipient number]],Extra_RecipientsWeight!A:A,Extra_RecipientsWeight!B:B)+G5)</f>
        <v>28.695900000000002</v>
      </c>
      <c r="I5" s="11">
        <v>28.445499999999999</v>
      </c>
      <c r="J5" s="11">
        <f>Table2[[#This Row],[Incial Weight (g)]]-Table2[[#This Row],[Final Weight (g)]]</f>
        <v>0.25040000000000262</v>
      </c>
      <c r="K5" s="39">
        <f>(Table2[[#This Row],[Incial Weight (g)]]-Table2[[#This Row],[Final Weight (g)]])/Table2[[#This Row],[Sample Weight (g)]]</f>
        <v>5.0073991121065996E-2</v>
      </c>
      <c r="L5" s="15"/>
      <c r="M5" s="15"/>
      <c r="N5" s="15"/>
      <c r="O5" s="15"/>
      <c r="P5" s="15"/>
      <c r="Q5" s="15"/>
      <c r="R5" s="13">
        <v>45947</v>
      </c>
      <c r="S5" s="11"/>
    </row>
    <row r="6" spans="1:19" ht="14.5" x14ac:dyDescent="0.35">
      <c r="A6" s="10">
        <v>5</v>
      </c>
      <c r="B6" s="10" t="str">
        <f t="shared" si="0"/>
        <v>10% BSG Mixture_Moisture_1</v>
      </c>
      <c r="C6" s="10" t="s">
        <v>13</v>
      </c>
      <c r="D6" s="10" t="s">
        <v>9</v>
      </c>
      <c r="E6" s="10">
        <v>1</v>
      </c>
      <c r="F6" s="10">
        <v>212</v>
      </c>
      <c r="G6" s="11">
        <v>5.0004999999999997</v>
      </c>
      <c r="H6" s="11">
        <f>SUM(_xlfn.XLOOKUP(Table2[[#This Row],[Recipient number]],Extra_RecipientsWeight!A:A,Extra_RecipientsWeight!B:B)+G6)</f>
        <v>32.5184</v>
      </c>
      <c r="I6" s="11">
        <v>31.934000000000001</v>
      </c>
      <c r="J6" s="11">
        <f>Table2[[#This Row],[Incial Weight (g)]]-Table2[[#This Row],[Final Weight (g)]]</f>
        <v>0.5843999999999987</v>
      </c>
      <c r="K6" s="39">
        <f>(Table2[[#This Row],[Incial Weight (g)]]-Table2[[#This Row],[Final Weight (g)]])/Table2[[#This Row],[Sample Weight (g)]]</f>
        <v>0.11686831316868287</v>
      </c>
      <c r="L6" s="15"/>
      <c r="M6" s="15"/>
      <c r="N6" s="15"/>
      <c r="O6" s="15"/>
      <c r="P6" s="15"/>
      <c r="Q6" s="15"/>
      <c r="R6" s="13">
        <v>45947</v>
      </c>
      <c r="S6" s="11"/>
    </row>
    <row r="7" spans="1:19" ht="14.5" x14ac:dyDescent="0.35">
      <c r="A7" s="10">
        <v>6</v>
      </c>
      <c r="B7" s="10" t="str">
        <f t="shared" si="0"/>
        <v>10% BSG Mixture_Moisture_2</v>
      </c>
      <c r="C7" s="10" t="s">
        <v>13</v>
      </c>
      <c r="D7" s="10" t="s">
        <v>9</v>
      </c>
      <c r="E7" s="10">
        <v>2</v>
      </c>
      <c r="F7" s="10">
        <v>793</v>
      </c>
      <c r="G7" s="11">
        <v>5.0004999999999997</v>
      </c>
      <c r="H7" s="11">
        <f>SUM(_xlfn.XLOOKUP(Table2[[#This Row],[Recipient number]],Extra_RecipientsWeight!A:A,Extra_RecipientsWeight!B:B)+G7)</f>
        <v>32.247799999999998</v>
      </c>
      <c r="I7" s="11">
        <v>31.6709</v>
      </c>
      <c r="J7" s="11">
        <f>Table2[[#This Row],[Incial Weight (g)]]-Table2[[#This Row],[Final Weight (g)]]</f>
        <v>0.57689999999999841</v>
      </c>
      <c r="K7" s="39">
        <f>(Table2[[#This Row],[Incial Weight (g)]]-Table2[[#This Row],[Final Weight (g)]])/Table2[[#This Row],[Sample Weight (g)]]</f>
        <v>0.11536846315368432</v>
      </c>
      <c r="L7" s="15"/>
      <c r="M7" s="15"/>
      <c r="N7" s="15"/>
      <c r="O7" s="15"/>
      <c r="P7" s="15"/>
      <c r="Q7" s="15"/>
      <c r="R7" s="13">
        <v>45947</v>
      </c>
      <c r="S7" s="11"/>
    </row>
    <row r="8" spans="1:19" ht="14.5" x14ac:dyDescent="0.35">
      <c r="A8" s="10">
        <v>7</v>
      </c>
      <c r="B8" s="10" t="str">
        <f t="shared" si="0"/>
        <v>20% BSG Mixture_Moisture_1</v>
      </c>
      <c r="C8" s="10" t="s">
        <v>15</v>
      </c>
      <c r="D8" s="10" t="s">
        <v>9</v>
      </c>
      <c r="E8" s="10">
        <v>1</v>
      </c>
      <c r="F8" s="10">
        <v>471</v>
      </c>
      <c r="G8" s="11">
        <v>5</v>
      </c>
      <c r="H8" s="11">
        <f>SUM(_xlfn.XLOOKUP(Table2[[#This Row],[Recipient number]],Extra_RecipientsWeight!A:A,Extra_RecipientsWeight!B:B)+G8)</f>
        <v>32.314999999999998</v>
      </c>
      <c r="I8" s="11">
        <v>31.773399999999999</v>
      </c>
      <c r="J8" s="11">
        <f>Table2[[#This Row],[Incial Weight (g)]]-Table2[[#This Row],[Final Weight (g)]]</f>
        <v>0.54159999999999897</v>
      </c>
      <c r="K8" s="39">
        <f>(Table2[[#This Row],[Incial Weight (g)]]-Table2[[#This Row],[Final Weight (g)]])/Table2[[#This Row],[Sample Weight (g)]]</f>
        <v>0.10831999999999979</v>
      </c>
      <c r="L8" s="15"/>
      <c r="M8" s="15"/>
      <c r="N8" s="15"/>
      <c r="O8" s="15"/>
      <c r="P8" s="15"/>
      <c r="Q8" s="15"/>
      <c r="R8" s="13">
        <v>45947</v>
      </c>
      <c r="S8" s="11"/>
    </row>
    <row r="9" spans="1:19" ht="14.5" x14ac:dyDescent="0.35">
      <c r="A9" s="10">
        <v>8</v>
      </c>
      <c r="B9" s="10" t="str">
        <f t="shared" si="0"/>
        <v>20% BSG Mixture_Moisture_2</v>
      </c>
      <c r="C9" s="10" t="s">
        <v>15</v>
      </c>
      <c r="D9" s="10" t="s">
        <v>9</v>
      </c>
      <c r="E9" s="10">
        <v>2</v>
      </c>
      <c r="F9" s="10">
        <v>403</v>
      </c>
      <c r="G9" s="11">
        <v>5.0010000000000003</v>
      </c>
      <c r="H9" s="11">
        <f>SUM(_xlfn.XLOOKUP(Table2[[#This Row],[Recipient number]],Extra_RecipientsWeight!A:A,Extra_RecipientsWeight!B:B)+G9)</f>
        <v>31.942700000000002</v>
      </c>
      <c r="I9" s="11">
        <v>31.4162</v>
      </c>
      <c r="J9" s="11">
        <f>Table2[[#This Row],[Incial Weight (g)]]-Table2[[#This Row],[Final Weight (g)]]</f>
        <v>0.52650000000000219</v>
      </c>
      <c r="K9" s="39">
        <f>(Table2[[#This Row],[Incial Weight (g)]]-Table2[[#This Row],[Final Weight (g)]])/Table2[[#This Row],[Sample Weight (g)]]</f>
        <v>0.1052789442111582</v>
      </c>
      <c r="L9" s="15"/>
      <c r="M9" s="12"/>
      <c r="N9" s="15"/>
      <c r="O9" s="15"/>
      <c r="P9" s="15"/>
      <c r="Q9" s="15"/>
      <c r="R9" s="13">
        <v>45947</v>
      </c>
      <c r="S9" s="11"/>
    </row>
    <row r="10" spans="1:19" ht="16.5" customHeight="1" x14ac:dyDescent="0.35">
      <c r="A10" s="10">
        <v>9</v>
      </c>
      <c r="B10" s="10" t="str">
        <f t="shared" si="0"/>
        <v>Flour_Ash_1</v>
      </c>
      <c r="C10" s="10" t="s">
        <v>10</v>
      </c>
      <c r="D10" s="10" t="s">
        <v>17</v>
      </c>
      <c r="E10" s="10">
        <v>1</v>
      </c>
      <c r="F10" s="10">
        <v>14</v>
      </c>
      <c r="G10" s="11">
        <v>3.0007000000000001</v>
      </c>
      <c r="H10" s="11">
        <f>SUM(_xlfn.XLOOKUP(Table2[[#This Row],[Recipient number]],Extra_RecipientsWeight!A:A,Extra_RecipientsWeight!B:B)+G10)</f>
        <v>23.061300000000003</v>
      </c>
      <c r="I10" s="11">
        <v>20.079499999999999</v>
      </c>
      <c r="J10" s="11">
        <f>Table2[[#This Row],[Incial Weight (g)]]-Table2[[#This Row],[Final Weight (g)]]</f>
        <v>2.9818000000000033</v>
      </c>
      <c r="K10" s="15"/>
      <c r="L10" s="39">
        <f>(Table2[[#This Row],[Sample Weight (g)]]-(Table2[[#This Row],[Incial Weight (g)]]-Table2[[#This Row],[Final Weight (g)]]))/Table2[[#This Row],[Sample Weight (g)]]</f>
        <v>6.2985303429189217E-3</v>
      </c>
      <c r="M10" s="15"/>
      <c r="N10" s="23" t="s">
        <v>47</v>
      </c>
      <c r="O10" s="35"/>
      <c r="P10" s="15"/>
      <c r="Q10" s="15"/>
      <c r="R10" s="13">
        <v>45947</v>
      </c>
      <c r="S10" s="11"/>
    </row>
    <row r="11" spans="1:19" ht="14.5" x14ac:dyDescent="0.35">
      <c r="A11" s="10">
        <v>10</v>
      </c>
      <c r="B11" s="10" t="str">
        <f t="shared" si="0"/>
        <v>Flour_Ash_2</v>
      </c>
      <c r="C11" s="10" t="s">
        <v>10</v>
      </c>
      <c r="D11" s="10" t="s">
        <v>17</v>
      </c>
      <c r="E11" s="10">
        <v>2</v>
      </c>
      <c r="F11" s="10">
        <v>22</v>
      </c>
      <c r="G11" s="11">
        <v>2.9994999999999998</v>
      </c>
      <c r="H11" s="11">
        <f>SUM(_xlfn.XLOOKUP(Table2[[#This Row],[Recipient number]],Extra_RecipientsWeight!A:A,Extra_RecipientsWeight!B:B)+G11)</f>
        <v>23.106200000000001</v>
      </c>
      <c r="I11" s="11">
        <v>20.127500000000001</v>
      </c>
      <c r="J11" s="11">
        <f>Table2[[#This Row],[Incial Weight (g)]]-Table2[[#This Row],[Final Weight (g)]]</f>
        <v>2.9786999999999999</v>
      </c>
      <c r="K11" s="15"/>
      <c r="L11" s="39">
        <f>(Table2[[#This Row],[Sample Weight (g)]]-(Table2[[#This Row],[Incial Weight (g)]]-Table2[[#This Row],[Final Weight (g)]]))/Table2[[#This Row],[Sample Weight (g)]]</f>
        <v>6.9344890815135627E-3</v>
      </c>
      <c r="M11" s="15"/>
      <c r="N11" s="23" t="s">
        <v>47</v>
      </c>
      <c r="O11" s="35"/>
      <c r="P11" s="15"/>
      <c r="Q11" s="15"/>
      <c r="R11" s="13">
        <v>45947</v>
      </c>
      <c r="S11" s="11"/>
    </row>
    <row r="12" spans="1:19" ht="14.5" x14ac:dyDescent="0.35">
      <c r="A12" s="10">
        <v>11</v>
      </c>
      <c r="B12" s="10" t="str">
        <f t="shared" si="0"/>
        <v>BSG_Ash_1</v>
      </c>
      <c r="C12" s="10" t="s">
        <v>11</v>
      </c>
      <c r="D12" s="10" t="s">
        <v>17</v>
      </c>
      <c r="E12" s="10">
        <v>1</v>
      </c>
      <c r="F12" s="10">
        <v>18</v>
      </c>
      <c r="G12" s="11">
        <v>3.0007000000000001</v>
      </c>
      <c r="H12" s="11">
        <f>SUM(_xlfn.XLOOKUP(Table2[[#This Row],[Recipient number]],Extra_RecipientsWeight!A:A,Extra_RecipientsWeight!B:B)+G12)</f>
        <v>24.095399999999998</v>
      </c>
      <c r="I12" s="11">
        <v>21.215</v>
      </c>
      <c r="J12" s="11">
        <f>Table2[[#This Row],[Incial Weight (g)]]-Table2[[#This Row],[Final Weight (g)]]</f>
        <v>2.8803999999999981</v>
      </c>
      <c r="K12" s="15"/>
      <c r="L12" s="39">
        <f>(Table2[[#This Row],[Sample Weight (g)]]-(Table2[[#This Row],[Incial Weight (g)]]-Table2[[#This Row],[Final Weight (g)]]))/Table2[[#This Row],[Sample Weight (g)]]</f>
        <v>4.0090645516046942E-2</v>
      </c>
      <c r="M12" s="15"/>
      <c r="N12" s="23" t="s">
        <v>47</v>
      </c>
      <c r="O12" s="35"/>
      <c r="P12" s="15"/>
      <c r="Q12" s="15"/>
      <c r="R12" s="13">
        <v>45947</v>
      </c>
      <c r="S12" s="11"/>
    </row>
    <row r="13" spans="1:19" ht="14.5" x14ac:dyDescent="0.35">
      <c r="A13" s="10">
        <v>12</v>
      </c>
      <c r="B13" s="10" t="str">
        <f t="shared" si="0"/>
        <v>BSG_Ash_2</v>
      </c>
      <c r="C13" s="10" t="s">
        <v>11</v>
      </c>
      <c r="D13" s="10" t="s">
        <v>17</v>
      </c>
      <c r="E13" s="10">
        <v>2</v>
      </c>
      <c r="F13" s="10">
        <v>4</v>
      </c>
      <c r="G13" s="11">
        <v>3.0009000000000001</v>
      </c>
      <c r="H13" s="11">
        <f>SUM(_xlfn.XLOOKUP(Table2[[#This Row],[Recipient number]],Extra_RecipientsWeight!A:A,Extra_RecipientsWeight!B:B)+G13)</f>
        <v>21.420500000000001</v>
      </c>
      <c r="I13" s="11">
        <v>18.541799999999999</v>
      </c>
      <c r="J13" s="11">
        <f>Table2[[#This Row],[Incial Weight (g)]]-Table2[[#This Row],[Final Weight (g)]]</f>
        <v>2.878700000000002</v>
      </c>
      <c r="K13" s="15"/>
      <c r="L13" s="39">
        <f>(Table2[[#This Row],[Sample Weight (g)]]-(Table2[[#This Row],[Incial Weight (g)]]-Table2[[#This Row],[Final Weight (g)]]))/Table2[[#This Row],[Sample Weight (g)]]</f>
        <v>4.0721116998233227E-2</v>
      </c>
      <c r="M13" s="15"/>
      <c r="N13" s="23" t="s">
        <v>47</v>
      </c>
      <c r="O13" s="35"/>
      <c r="P13" s="15"/>
      <c r="Q13" s="15"/>
      <c r="R13" s="13">
        <v>45947</v>
      </c>
      <c r="S13" s="11"/>
    </row>
    <row r="14" spans="1:19" ht="14.5" x14ac:dyDescent="0.35">
      <c r="A14" s="10">
        <v>13</v>
      </c>
      <c r="B14" s="10" t="str">
        <f t="shared" si="0"/>
        <v>10% BSG Mixture_Ash_1</v>
      </c>
      <c r="C14" s="10" t="s">
        <v>13</v>
      </c>
      <c r="D14" s="10" t="s">
        <v>17</v>
      </c>
      <c r="E14" s="10">
        <v>1</v>
      </c>
      <c r="F14" s="10">
        <v>15</v>
      </c>
      <c r="G14" s="11">
        <v>3.0009999999999999</v>
      </c>
      <c r="H14" s="11">
        <f>SUM(_xlfn.XLOOKUP(Table2[[#This Row],[Recipient number]],Extra_RecipientsWeight!A:A,Extra_RecipientsWeight!B:B)+G14)</f>
        <v>22.167300000000001</v>
      </c>
      <c r="I14" s="11">
        <v>19.1967</v>
      </c>
      <c r="J14" s="11">
        <f>Table2[[#This Row],[Incial Weight (g)]]-Table2[[#This Row],[Final Weight (g)]]</f>
        <v>2.970600000000001</v>
      </c>
      <c r="K14" s="15"/>
      <c r="L14" s="39">
        <f>(Table2[[#This Row],[Sample Weight (g)]]-(Table2[[#This Row],[Incial Weight (g)]]-Table2[[#This Row],[Final Weight (g)]]))/Table2[[#This Row],[Sample Weight (g)]]</f>
        <v>1.0129956681105922E-2</v>
      </c>
      <c r="M14" s="15"/>
      <c r="N14" s="23" t="s">
        <v>47</v>
      </c>
      <c r="O14" s="35"/>
      <c r="P14" s="15"/>
      <c r="Q14" s="15"/>
      <c r="R14" s="13">
        <v>45947</v>
      </c>
      <c r="S14" s="11"/>
    </row>
    <row r="15" spans="1:19" ht="14.5" x14ac:dyDescent="0.35">
      <c r="A15" s="10">
        <v>14</v>
      </c>
      <c r="B15" s="10" t="str">
        <f t="shared" si="0"/>
        <v>10% BSG Mixture_Ash_2</v>
      </c>
      <c r="C15" s="10" t="s">
        <v>13</v>
      </c>
      <c r="D15" s="10" t="s">
        <v>17</v>
      </c>
      <c r="E15" s="10">
        <v>2</v>
      </c>
      <c r="F15" s="10">
        <v>21</v>
      </c>
      <c r="G15" s="11">
        <v>3.0003000000000002</v>
      </c>
      <c r="H15" s="11">
        <f>SUM(_xlfn.XLOOKUP(Table2[[#This Row],[Recipient number]],Extra_RecipientsWeight!A:A,Extra_RecipientsWeight!B:B)+G15)</f>
        <v>22.807500000000001</v>
      </c>
      <c r="I15" s="11">
        <v>19.837499999999999</v>
      </c>
      <c r="J15" s="11">
        <f>Table2[[#This Row],[Incial Weight (g)]]-Table2[[#This Row],[Final Weight (g)]]</f>
        <v>2.9700000000000024</v>
      </c>
      <c r="K15" s="15"/>
      <c r="L15" s="39">
        <f>(Table2[[#This Row],[Sample Weight (g)]]-(Table2[[#This Row],[Incial Weight (g)]]-Table2[[#This Row],[Final Weight (g)]]))/Table2[[#This Row],[Sample Weight (g)]]</f>
        <v>1.0098990100989158E-2</v>
      </c>
      <c r="M15" s="15"/>
      <c r="N15" s="23" t="s">
        <v>47</v>
      </c>
      <c r="O15" s="35"/>
      <c r="P15" s="15"/>
      <c r="Q15" s="15"/>
      <c r="R15" s="13">
        <v>45947</v>
      </c>
      <c r="S15" s="11"/>
    </row>
    <row r="16" spans="1:19" ht="14.5" x14ac:dyDescent="0.35">
      <c r="A16" s="10">
        <v>15</v>
      </c>
      <c r="B16" s="10" t="str">
        <f t="shared" si="0"/>
        <v>20% BSG Mixture_Ash_1</v>
      </c>
      <c r="C16" s="10" t="s">
        <v>15</v>
      </c>
      <c r="D16" s="10" t="s">
        <v>17</v>
      </c>
      <c r="E16" s="10">
        <v>1</v>
      </c>
      <c r="F16" s="10">
        <v>5</v>
      </c>
      <c r="G16" s="11">
        <v>3.0001000000000002</v>
      </c>
      <c r="H16" s="11">
        <f>SUM(_xlfn.XLOOKUP(Table2[[#This Row],[Recipient number]],Extra_RecipientsWeight!A:A,Extra_RecipientsWeight!B:B)+G16)</f>
        <v>23.09</v>
      </c>
      <c r="I16" s="11">
        <v>20.130199999999999</v>
      </c>
      <c r="J16" s="11">
        <f>Table2[[#This Row],[Incial Weight (g)]]-Table2[[#This Row],[Final Weight (g)]]</f>
        <v>2.9598000000000013</v>
      </c>
      <c r="K16" s="15"/>
      <c r="L16" s="39">
        <f>(Table2[[#This Row],[Sample Weight (g)]]-(Table2[[#This Row],[Incial Weight (g)]]-Table2[[#This Row],[Final Weight (g)]]))/Table2[[#This Row],[Sample Weight (g)]]</f>
        <v>1.3432885570480614E-2</v>
      </c>
      <c r="M16" s="15"/>
      <c r="N16" s="23" t="s">
        <v>47</v>
      </c>
      <c r="O16" s="35"/>
      <c r="P16" s="15"/>
      <c r="Q16" s="15"/>
      <c r="R16" s="13">
        <v>45947</v>
      </c>
      <c r="S16" s="11"/>
    </row>
    <row r="17" spans="1:19" ht="14.5" x14ac:dyDescent="0.35">
      <c r="A17" s="10">
        <v>16</v>
      </c>
      <c r="B17" s="10" t="str">
        <f t="shared" si="0"/>
        <v>20% BSG Mixture_Ash_2</v>
      </c>
      <c r="C17" s="10" t="s">
        <v>15</v>
      </c>
      <c r="D17" s="10" t="s">
        <v>17</v>
      </c>
      <c r="E17" s="10">
        <v>2</v>
      </c>
      <c r="F17" s="10">
        <v>25</v>
      </c>
      <c r="G17" s="11">
        <v>2.9996</v>
      </c>
      <c r="H17" s="11">
        <f>SUM(_xlfn.XLOOKUP(Table2[[#This Row],[Recipient number]],Extra_RecipientsWeight!A:A,Extra_RecipientsWeight!B:B)+G17)</f>
        <v>22.1767</v>
      </c>
      <c r="I17" s="11">
        <v>19.217099999999999</v>
      </c>
      <c r="J17" s="11">
        <f>Table2[[#This Row],[Incial Weight (g)]]-Table2[[#This Row],[Final Weight (g)]]</f>
        <v>2.9596000000000018</v>
      </c>
      <c r="K17" s="15"/>
      <c r="L17" s="39">
        <f>(Table2[[#This Row],[Sample Weight (g)]]-(Table2[[#This Row],[Incial Weight (g)]]-Table2[[#This Row],[Final Weight (g)]]))/Table2[[#This Row],[Sample Weight (g)]]</f>
        <v>1.3335111348179177E-2</v>
      </c>
      <c r="M17" s="15"/>
      <c r="N17" s="23" t="s">
        <v>47</v>
      </c>
      <c r="O17" s="35"/>
      <c r="P17" s="15"/>
      <c r="Q17" s="15"/>
      <c r="R17" s="13">
        <v>45947</v>
      </c>
      <c r="S17" s="11"/>
    </row>
    <row r="18" spans="1:19" ht="14.5" x14ac:dyDescent="0.35">
      <c r="A18" s="10">
        <v>17</v>
      </c>
      <c r="B18" s="10" t="str">
        <f t="shared" si="0"/>
        <v>Flour_Protein_1</v>
      </c>
      <c r="C18" s="10" t="s">
        <v>10</v>
      </c>
      <c r="D18" s="10" t="s">
        <v>19</v>
      </c>
      <c r="E18" s="10">
        <v>1</v>
      </c>
      <c r="F18" s="10" t="s">
        <v>48</v>
      </c>
      <c r="G18" s="11">
        <v>1.0004999999999999</v>
      </c>
      <c r="H18" s="11">
        <f>Table2[[#This Row],[Sample Weight (g)]]</f>
        <v>1.0004999999999999</v>
      </c>
      <c r="I18" s="15"/>
      <c r="J18" s="15"/>
      <c r="K18" s="15"/>
      <c r="L18" s="23" t="s">
        <v>47</v>
      </c>
      <c r="M18" s="40">
        <f>1-K2</f>
        <v>0.87568248635027357</v>
      </c>
      <c r="N18" s="41">
        <v>12.8</v>
      </c>
      <c r="O18" s="40">
        <v>0.1278</v>
      </c>
      <c r="P18" s="15"/>
      <c r="Q18" s="15"/>
      <c r="R18" s="13">
        <v>45947</v>
      </c>
      <c r="S18" s="11"/>
    </row>
    <row r="19" spans="1:19" ht="14.5" x14ac:dyDescent="0.35">
      <c r="A19" s="10">
        <v>18</v>
      </c>
      <c r="B19" s="10" t="str">
        <f t="shared" si="0"/>
        <v>Flour_Protein_2</v>
      </c>
      <c r="C19" s="10" t="s">
        <v>10</v>
      </c>
      <c r="D19" s="10" t="s">
        <v>19</v>
      </c>
      <c r="E19" s="10">
        <v>2</v>
      </c>
      <c r="F19" s="10" t="s">
        <v>49</v>
      </c>
      <c r="G19" s="11">
        <v>1.0005999999999999</v>
      </c>
      <c r="H19" s="11">
        <f>Table2[[#This Row],[Sample Weight (g)]]</f>
        <v>1.0005999999999999</v>
      </c>
      <c r="I19" s="15"/>
      <c r="J19" s="15"/>
      <c r="K19" s="15"/>
      <c r="L19" s="23" t="s">
        <v>47</v>
      </c>
      <c r="M19" s="40">
        <f t="shared" ref="M19:M25" si="1">1-K3</f>
        <v>0.87571976967370491</v>
      </c>
      <c r="N19" s="41">
        <v>13</v>
      </c>
      <c r="O19" s="40">
        <v>0.1298</v>
      </c>
      <c r="P19" s="15"/>
      <c r="Q19" s="15"/>
      <c r="R19" s="13">
        <v>45947</v>
      </c>
      <c r="S19" s="11"/>
    </row>
    <row r="20" spans="1:19" ht="14.5" x14ac:dyDescent="0.35">
      <c r="A20" s="10">
        <v>19</v>
      </c>
      <c r="B20" s="10" t="str">
        <f t="shared" si="0"/>
        <v>BSG_Protein_1</v>
      </c>
      <c r="C20" s="10" t="s">
        <v>11</v>
      </c>
      <c r="D20" s="10" t="s">
        <v>19</v>
      </c>
      <c r="E20" s="10">
        <v>1</v>
      </c>
      <c r="F20" s="10" t="s">
        <v>50</v>
      </c>
      <c r="G20" s="11">
        <v>1.0005999999999999</v>
      </c>
      <c r="H20" s="11">
        <f>Table2[[#This Row],[Sample Weight (g)]]</f>
        <v>1.0005999999999999</v>
      </c>
      <c r="I20" s="15"/>
      <c r="J20" s="15"/>
      <c r="K20" s="15"/>
      <c r="L20" s="23" t="s">
        <v>47</v>
      </c>
      <c r="M20" s="40">
        <f t="shared" si="1"/>
        <v>0.95147358739552945</v>
      </c>
      <c r="N20" s="41">
        <v>23.8</v>
      </c>
      <c r="O20" s="40">
        <v>0.21870000000000001</v>
      </c>
      <c r="P20" s="15"/>
      <c r="Q20" s="15"/>
      <c r="R20" s="13">
        <v>45947</v>
      </c>
      <c r="S20" s="11"/>
    </row>
    <row r="21" spans="1:19" ht="14.5" x14ac:dyDescent="0.35">
      <c r="A21" s="10">
        <v>20</v>
      </c>
      <c r="B21" s="10" t="str">
        <f t="shared" si="0"/>
        <v>BSG_Protein_2</v>
      </c>
      <c r="C21" s="10" t="s">
        <v>11</v>
      </c>
      <c r="D21" s="10" t="s">
        <v>19</v>
      </c>
      <c r="E21" s="10">
        <v>2</v>
      </c>
      <c r="F21" s="10" t="s">
        <v>51</v>
      </c>
      <c r="G21" s="11">
        <v>1.0004999999999999</v>
      </c>
      <c r="H21" s="11">
        <f>Table2[[#This Row],[Sample Weight (g)]]</f>
        <v>1.0004999999999999</v>
      </c>
      <c r="I21" s="15"/>
      <c r="J21" s="15"/>
      <c r="K21" s="15"/>
      <c r="L21" s="23" t="s">
        <v>47</v>
      </c>
      <c r="M21" s="40">
        <f t="shared" si="1"/>
        <v>0.94992600887893397</v>
      </c>
      <c r="N21" s="41">
        <v>23.5</v>
      </c>
      <c r="O21" s="40">
        <v>0.21629999999999999</v>
      </c>
      <c r="P21" s="15"/>
      <c r="Q21" s="15"/>
      <c r="R21" s="13">
        <v>45947</v>
      </c>
      <c r="S21" s="11"/>
    </row>
    <row r="22" spans="1:19" ht="14.5" x14ac:dyDescent="0.35">
      <c r="A22" s="10">
        <v>21</v>
      </c>
      <c r="B22" s="10" t="str">
        <f t="shared" si="0"/>
        <v>10% BSG Mixture_Protein_1</v>
      </c>
      <c r="C22" s="10" t="s">
        <v>13</v>
      </c>
      <c r="D22" s="10" t="s">
        <v>19</v>
      </c>
      <c r="E22" s="10">
        <v>1</v>
      </c>
      <c r="F22" s="10" t="s">
        <v>52</v>
      </c>
      <c r="G22" s="11">
        <v>1.0007999999999999</v>
      </c>
      <c r="H22" s="11">
        <f>Table2[[#This Row],[Sample Weight (g)]]</f>
        <v>1.0007999999999999</v>
      </c>
      <c r="I22" s="15"/>
      <c r="J22" s="15"/>
      <c r="K22" s="15"/>
      <c r="L22" s="23" t="s">
        <v>47</v>
      </c>
      <c r="M22" s="40">
        <f t="shared" si="1"/>
        <v>0.88313168683131715</v>
      </c>
      <c r="N22" s="41">
        <v>14.3</v>
      </c>
      <c r="O22" s="40">
        <v>0.14149999999999999</v>
      </c>
      <c r="P22" s="15"/>
      <c r="Q22" s="15"/>
      <c r="R22" s="13">
        <v>45947</v>
      </c>
      <c r="S22" s="11"/>
    </row>
    <row r="23" spans="1:19" ht="14.5" x14ac:dyDescent="0.35">
      <c r="A23" s="10">
        <v>22</v>
      </c>
      <c r="B23" s="10" t="str">
        <f t="shared" si="0"/>
        <v>10% BSG Mixture_Protein_2</v>
      </c>
      <c r="C23" s="10" t="s">
        <v>13</v>
      </c>
      <c r="D23" s="10" t="s">
        <v>19</v>
      </c>
      <c r="E23" s="10">
        <v>2</v>
      </c>
      <c r="F23" s="10" t="s">
        <v>53</v>
      </c>
      <c r="G23" s="11">
        <v>1</v>
      </c>
      <c r="H23" s="11">
        <f>Table2[[#This Row],[Sample Weight (g)]]</f>
        <v>1</v>
      </c>
      <c r="I23" s="15"/>
      <c r="J23" s="15"/>
      <c r="K23" s="15"/>
      <c r="L23" s="23" t="s">
        <v>47</v>
      </c>
      <c r="M23" s="40">
        <f t="shared" si="1"/>
        <v>0.88463153684631568</v>
      </c>
      <c r="N23" s="41">
        <v>15</v>
      </c>
      <c r="O23" s="40">
        <v>0.14829999999999999</v>
      </c>
      <c r="P23" s="15"/>
      <c r="Q23" s="15"/>
      <c r="R23" s="13">
        <v>45947</v>
      </c>
      <c r="S23" s="11"/>
    </row>
    <row r="24" spans="1:19" ht="14.5" x14ac:dyDescent="0.35">
      <c r="A24" s="10">
        <v>23</v>
      </c>
      <c r="B24" s="10" t="str">
        <f t="shared" si="0"/>
        <v>20% BSG Mixture_Protein_1</v>
      </c>
      <c r="C24" s="10" t="s">
        <v>15</v>
      </c>
      <c r="D24" s="10" t="s">
        <v>19</v>
      </c>
      <c r="E24" s="10">
        <v>1</v>
      </c>
      <c r="F24" s="10" t="s">
        <v>54</v>
      </c>
      <c r="G24" s="11">
        <v>1.0003</v>
      </c>
      <c r="H24" s="11">
        <f>Table2[[#This Row],[Sample Weight (g)]]</f>
        <v>1.0003</v>
      </c>
      <c r="I24" s="15"/>
      <c r="J24" s="15"/>
      <c r="K24" s="15"/>
      <c r="L24" s="23" t="s">
        <v>47</v>
      </c>
      <c r="M24" s="40">
        <f t="shared" si="1"/>
        <v>0.89168000000000025</v>
      </c>
      <c r="N24" s="41">
        <v>15</v>
      </c>
      <c r="O24" s="40">
        <v>0.14710000000000001</v>
      </c>
      <c r="P24" s="15"/>
      <c r="Q24" s="15"/>
      <c r="R24" s="13">
        <v>45947</v>
      </c>
      <c r="S24" s="11"/>
    </row>
    <row r="25" spans="1:19" ht="14.5" x14ac:dyDescent="0.35">
      <c r="A25" s="10">
        <v>24</v>
      </c>
      <c r="B25" s="10" t="str">
        <f t="shared" si="0"/>
        <v>20% BSG Mixture_Protein_2</v>
      </c>
      <c r="C25" s="10" t="s">
        <v>15</v>
      </c>
      <c r="D25" s="10" t="s">
        <v>19</v>
      </c>
      <c r="E25" s="10">
        <v>2</v>
      </c>
      <c r="F25" s="10" t="s">
        <v>55</v>
      </c>
      <c r="G25" s="11">
        <v>1.0009999999999999</v>
      </c>
      <c r="H25" s="11">
        <f>Table2[[#This Row],[Sample Weight (g)]]</f>
        <v>1.0009999999999999</v>
      </c>
      <c r="I25" s="15"/>
      <c r="J25" s="15"/>
      <c r="K25" s="15"/>
      <c r="L25" s="23" t="s">
        <v>47</v>
      </c>
      <c r="M25" s="40">
        <f t="shared" si="1"/>
        <v>0.89472105578884176</v>
      </c>
      <c r="N25" s="41">
        <v>14.8</v>
      </c>
      <c r="O25" s="40">
        <v>0.14460000000000001</v>
      </c>
      <c r="P25" s="15"/>
      <c r="Q25" s="15"/>
      <c r="R25" s="13">
        <v>45947</v>
      </c>
      <c r="S25" s="11"/>
    </row>
    <row r="26" spans="1:19" ht="14.5" x14ac:dyDescent="0.35">
      <c r="A26" s="10">
        <v>25</v>
      </c>
      <c r="B26" s="10" t="str">
        <f t="shared" si="0"/>
        <v>Flour_Gluten_1</v>
      </c>
      <c r="C26" s="10" t="s">
        <v>10</v>
      </c>
      <c r="D26" s="10" t="s">
        <v>24</v>
      </c>
      <c r="E26" s="10">
        <v>1</v>
      </c>
      <c r="F26" s="10" t="s">
        <v>48</v>
      </c>
      <c r="G26" s="14">
        <v>10</v>
      </c>
      <c r="H26" s="14">
        <f>Table2[[#This Row],[Sample Weight (g)]]</f>
        <v>10</v>
      </c>
      <c r="I26" s="14">
        <v>2.9</v>
      </c>
      <c r="J26" s="14">
        <f t="shared" ref="J26:J31" si="2">G26-I26</f>
        <v>7.1</v>
      </c>
      <c r="K26" s="15"/>
      <c r="L26" s="15"/>
      <c r="M26" s="15"/>
      <c r="N26" s="15"/>
      <c r="O26" s="15"/>
      <c r="P26" s="18">
        <f>Table2[[#This Row],[Final Weight (g)]]*Table2[[#This Row],[Incial Weight (g)]]/(100-AVERAGE(K2:K3))</f>
        <v>0.29036091534246478</v>
      </c>
      <c r="Q26" s="15"/>
      <c r="R26" s="13">
        <v>45947</v>
      </c>
      <c r="S26" s="11"/>
    </row>
    <row r="27" spans="1:19" ht="14.5" x14ac:dyDescent="0.35">
      <c r="A27" s="10">
        <v>26</v>
      </c>
      <c r="B27" s="10" t="str">
        <f t="shared" si="0"/>
        <v>Flour_Gluten_2</v>
      </c>
      <c r="C27" s="10" t="s">
        <v>10</v>
      </c>
      <c r="D27" s="10" t="s">
        <v>24</v>
      </c>
      <c r="E27" s="10">
        <v>2</v>
      </c>
      <c r="F27" s="10" t="s">
        <v>49</v>
      </c>
      <c r="G27" s="14">
        <v>10</v>
      </c>
      <c r="H27" s="14">
        <f>Table2[[#This Row],[Sample Weight (g)]]</f>
        <v>10</v>
      </c>
      <c r="I27" s="14">
        <v>2.9</v>
      </c>
      <c r="J27" s="14">
        <f t="shared" si="2"/>
        <v>7.1</v>
      </c>
      <c r="K27" s="15"/>
      <c r="L27" s="15"/>
      <c r="M27" s="15"/>
      <c r="N27" s="15"/>
      <c r="O27" s="15"/>
      <c r="P27" s="18">
        <f>Table2[[#This Row],[Final Weight (g)]]*Table2[[#This Row],[Incial Weight (g)]]/(100-AVERAGE(K2:K3))</f>
        <v>0.29036091534246478</v>
      </c>
      <c r="Q27" s="15"/>
      <c r="R27" s="13">
        <v>45947</v>
      </c>
      <c r="S27" s="11"/>
    </row>
    <row r="28" spans="1:19" ht="14.5" x14ac:dyDescent="0.35">
      <c r="A28" s="10">
        <v>29</v>
      </c>
      <c r="B28" s="10" t="str">
        <f t="shared" si="0"/>
        <v>10% BSG Mixture_Gluten_1</v>
      </c>
      <c r="C28" s="10" t="s">
        <v>13</v>
      </c>
      <c r="D28" s="10" t="s">
        <v>24</v>
      </c>
      <c r="E28" s="10">
        <v>1</v>
      </c>
      <c r="F28" s="10" t="s">
        <v>52</v>
      </c>
      <c r="G28" s="14">
        <v>10</v>
      </c>
      <c r="H28" s="14">
        <f>Table2[[#This Row],[Sample Weight (g)]]</f>
        <v>10</v>
      </c>
      <c r="I28" s="14">
        <v>2.4</v>
      </c>
      <c r="J28" s="14">
        <f t="shared" si="2"/>
        <v>7.6</v>
      </c>
      <c r="K28" s="16"/>
      <c r="L28" s="16"/>
      <c r="M28" s="16"/>
      <c r="N28" s="16"/>
      <c r="O28" s="16"/>
      <c r="P28" s="18">
        <f>(Table2[[#This Row],[Final Weight (g)]]*Table2[[#This Row],[Incial Weight (g)]])/(100-AVERAGE(K6:K7))</f>
        <v>0.24027900811130853</v>
      </c>
      <c r="Q28" s="15"/>
      <c r="R28" s="13">
        <v>45947</v>
      </c>
      <c r="S28" s="11"/>
    </row>
    <row r="29" spans="1:19" ht="14.5" x14ac:dyDescent="0.35">
      <c r="A29" s="10">
        <v>30</v>
      </c>
      <c r="B29" s="10" t="str">
        <f t="shared" si="0"/>
        <v>10% BSG Mixture_Gluten_2</v>
      </c>
      <c r="C29" s="10" t="s">
        <v>13</v>
      </c>
      <c r="D29" s="10" t="s">
        <v>24</v>
      </c>
      <c r="E29" s="10">
        <v>2</v>
      </c>
      <c r="F29" s="10" t="s">
        <v>53</v>
      </c>
      <c r="G29" s="14">
        <v>10</v>
      </c>
      <c r="H29" s="14">
        <f>Table2[[#This Row],[Sample Weight (g)]]</f>
        <v>10</v>
      </c>
      <c r="I29" s="14">
        <v>2.4</v>
      </c>
      <c r="J29" s="14">
        <f t="shared" si="2"/>
        <v>7.6</v>
      </c>
      <c r="K29" s="16"/>
      <c r="L29" s="16"/>
      <c r="M29" s="16"/>
      <c r="N29" s="16"/>
      <c r="O29" s="16"/>
      <c r="P29" s="18">
        <f>(Table2[[#This Row],[Final Weight (g)]]*Table2[[#This Row],[Incial Weight (g)]])/(100-AVERAGE(K6:K7))</f>
        <v>0.24027900811130853</v>
      </c>
      <c r="Q29" s="15"/>
      <c r="R29" s="13">
        <v>45947</v>
      </c>
      <c r="S29" s="11"/>
    </row>
    <row r="30" spans="1:19" ht="14.5" x14ac:dyDescent="0.35">
      <c r="A30" s="10">
        <v>31</v>
      </c>
      <c r="B30" s="10" t="str">
        <f t="shared" si="0"/>
        <v>20% BSG Mixture_Gluten_1</v>
      </c>
      <c r="C30" s="10" t="s">
        <v>15</v>
      </c>
      <c r="D30" s="10" t="s">
        <v>24</v>
      </c>
      <c r="E30" s="10">
        <v>1</v>
      </c>
      <c r="F30" s="10" t="s">
        <v>54</v>
      </c>
      <c r="G30" s="14">
        <v>10</v>
      </c>
      <c r="H30" s="14">
        <f>Table2[[#This Row],[Sample Weight (g)]]</f>
        <v>10</v>
      </c>
      <c r="I30" s="14">
        <v>2.2000000000000002</v>
      </c>
      <c r="J30" s="14">
        <f t="shared" si="2"/>
        <v>7.8</v>
      </c>
      <c r="K30" s="16"/>
      <c r="L30" s="16"/>
      <c r="M30" s="16"/>
      <c r="N30" s="16"/>
      <c r="O30" s="16"/>
      <c r="P30" s="18">
        <f>Table2[[#This Row],[Incial Weight (g)]]*Table2[[#This Row],[Final Weight (g)]]/(100-AVERAGE(K8:K9))</f>
        <v>0.22023521004171517</v>
      </c>
      <c r="Q30" s="15"/>
      <c r="R30" s="13">
        <v>45947</v>
      </c>
      <c r="S30" s="11"/>
    </row>
    <row r="31" spans="1:19" ht="14.5" x14ac:dyDescent="0.35">
      <c r="A31" s="10">
        <v>32</v>
      </c>
      <c r="B31" s="10" t="str">
        <f t="shared" si="0"/>
        <v>20% BSG Mixture_Gluten_2</v>
      </c>
      <c r="C31" s="10" t="s">
        <v>15</v>
      </c>
      <c r="D31" s="10" t="s">
        <v>24</v>
      </c>
      <c r="E31" s="10">
        <v>2</v>
      </c>
      <c r="F31" s="10" t="s">
        <v>55</v>
      </c>
      <c r="G31" s="14">
        <v>10</v>
      </c>
      <c r="H31" s="14">
        <f>Table2[[#This Row],[Sample Weight (g)]]</f>
        <v>10</v>
      </c>
      <c r="I31" s="14">
        <v>2.2999999999999998</v>
      </c>
      <c r="J31" s="14">
        <f t="shared" si="2"/>
        <v>7.7</v>
      </c>
      <c r="K31" s="16"/>
      <c r="L31" s="16"/>
      <c r="M31" s="16"/>
      <c r="N31" s="16"/>
      <c r="O31" s="16"/>
      <c r="P31" s="18">
        <f>Table2[[#This Row],[Incial Weight (g)]]*Table2[[#This Row],[Final Weight (g)]]/(100-AVERAGE(K8:K9))</f>
        <v>0.23024590140724768</v>
      </c>
      <c r="Q31" s="15"/>
      <c r="R31" s="13">
        <v>45947</v>
      </c>
      <c r="S31" s="11"/>
    </row>
    <row r="32" spans="1:19" ht="15" customHeight="1" x14ac:dyDescent="0.35">
      <c r="A32" s="10">
        <v>33</v>
      </c>
      <c r="B32" s="10" t="str">
        <f>_xlfn.CONCAT(C32,"_",D32,"_",E32)</f>
        <v>Flour_Fibre_1</v>
      </c>
      <c r="C32" s="10" t="s">
        <v>10</v>
      </c>
      <c r="D32" s="10" t="s">
        <v>28</v>
      </c>
      <c r="E32" s="10">
        <v>1</v>
      </c>
      <c r="G32" s="80"/>
      <c r="H32" s="80"/>
      <c r="I32" s="16"/>
      <c r="J32" s="16"/>
      <c r="K32" s="16"/>
      <c r="L32" s="16"/>
      <c r="M32" s="16"/>
      <c r="N32" s="16"/>
      <c r="O32" s="16"/>
      <c r="P32" s="16"/>
      <c r="Q32" s="81">
        <v>0</v>
      </c>
      <c r="R32" s="13">
        <v>46297</v>
      </c>
      <c r="S32" s="11" t="s">
        <v>56</v>
      </c>
    </row>
    <row r="33" spans="1:19" ht="15" customHeight="1" x14ac:dyDescent="0.35">
      <c r="A33" s="10">
        <v>34</v>
      </c>
      <c r="B33" s="10" t="str">
        <f>_xlfn.CONCAT(C33,"_",D33,"_",E33)</f>
        <v>Flour_Fibre_2</v>
      </c>
      <c r="C33" s="10" t="s">
        <v>10</v>
      </c>
      <c r="D33" s="10" t="s">
        <v>28</v>
      </c>
      <c r="E33" s="10">
        <v>2</v>
      </c>
      <c r="G33" s="80"/>
      <c r="H33" s="80"/>
      <c r="I33" s="16"/>
      <c r="J33" s="16"/>
      <c r="K33" s="16"/>
      <c r="L33" s="16"/>
      <c r="M33" s="16"/>
      <c r="N33" s="16"/>
      <c r="O33" s="16"/>
      <c r="P33" s="16"/>
      <c r="Q33" s="81">
        <v>0</v>
      </c>
      <c r="R33" s="13">
        <v>46297</v>
      </c>
      <c r="S33" s="11" t="s">
        <v>56</v>
      </c>
    </row>
    <row r="34" spans="1:19" ht="15" customHeight="1" x14ac:dyDescent="0.35">
      <c r="A34" s="10">
        <v>35</v>
      </c>
      <c r="B34" s="10" t="str">
        <f>_xlfn.CONCAT(C34,"_",D34,"_",E34)</f>
        <v>BSG_Fibre_1</v>
      </c>
      <c r="C34" s="10" t="s">
        <v>11</v>
      </c>
      <c r="D34" s="10" t="s">
        <v>28</v>
      </c>
      <c r="E34" s="10">
        <v>1</v>
      </c>
      <c r="G34" s="80"/>
      <c r="H34" s="80"/>
      <c r="I34" s="16"/>
      <c r="J34" s="16"/>
      <c r="K34" s="16"/>
      <c r="L34" s="16"/>
      <c r="M34" s="16"/>
      <c r="N34" s="16"/>
      <c r="O34" s="16"/>
      <c r="P34" s="16"/>
      <c r="Q34" s="81">
        <v>0.18260000000000001</v>
      </c>
      <c r="R34" s="13">
        <v>46297</v>
      </c>
      <c r="S34" s="11" t="s">
        <v>56</v>
      </c>
    </row>
    <row r="35" spans="1:19" ht="15" customHeight="1" x14ac:dyDescent="0.35">
      <c r="A35" s="10">
        <v>36</v>
      </c>
      <c r="B35" s="10" t="str">
        <f>_xlfn.CONCAT(C35,"_",D35,"_",E35)</f>
        <v>BSG_Fibre_2</v>
      </c>
      <c r="C35" s="10" t="s">
        <v>11</v>
      </c>
      <c r="D35" s="10" t="s">
        <v>28</v>
      </c>
      <c r="E35" s="10">
        <v>2</v>
      </c>
      <c r="G35" s="80"/>
      <c r="H35" s="80"/>
      <c r="I35" s="16"/>
      <c r="J35" s="16"/>
      <c r="K35" s="16"/>
      <c r="L35" s="16"/>
      <c r="M35" s="16"/>
      <c r="N35" s="16"/>
      <c r="O35" s="16"/>
      <c r="P35" s="16"/>
      <c r="Q35" s="81">
        <v>0.17780000000000001</v>
      </c>
      <c r="R35" s="13">
        <v>46297</v>
      </c>
      <c r="S35" s="11" t="s">
        <v>56</v>
      </c>
    </row>
    <row r="36" spans="1:19" ht="15" customHeight="1" x14ac:dyDescent="0.35">
      <c r="A36" s="10">
        <v>37</v>
      </c>
      <c r="B36" s="10" t="str">
        <f t="shared" ref="B36:B37" si="3">_xlfn.CONCAT(C36,"_",D36,"_",E36)</f>
        <v>10% BSG Mixture_Fibre_1</v>
      </c>
      <c r="C36" s="10" t="s">
        <v>13</v>
      </c>
      <c r="D36" s="10" t="s">
        <v>28</v>
      </c>
      <c r="E36" s="10">
        <v>1</v>
      </c>
      <c r="G36" s="80"/>
      <c r="H36" s="80"/>
      <c r="I36" s="16"/>
      <c r="J36" s="16"/>
      <c r="K36" s="16"/>
      <c r="L36" s="16"/>
      <c r="M36" s="16"/>
      <c r="N36" s="16"/>
      <c r="O36" s="16"/>
      <c r="P36" s="16"/>
      <c r="Q36" s="81">
        <v>1.3899999999999999E-2</v>
      </c>
      <c r="R36" s="13">
        <v>46297</v>
      </c>
      <c r="S36" s="11" t="s">
        <v>56</v>
      </c>
    </row>
    <row r="37" spans="1:19" ht="15" customHeight="1" x14ac:dyDescent="0.35">
      <c r="A37" s="10">
        <v>38</v>
      </c>
      <c r="B37" s="10" t="str">
        <f t="shared" si="3"/>
        <v>10% BSG Mixture_Fibre_2</v>
      </c>
      <c r="C37" s="10" t="s">
        <v>13</v>
      </c>
      <c r="D37" s="10" t="s">
        <v>28</v>
      </c>
      <c r="E37" s="10">
        <v>2</v>
      </c>
      <c r="G37" s="80"/>
      <c r="H37" s="80"/>
      <c r="I37" s="16"/>
      <c r="J37" s="16"/>
      <c r="K37" s="16"/>
      <c r="L37" s="16"/>
      <c r="M37" s="16"/>
      <c r="N37" s="16"/>
      <c r="O37" s="16"/>
      <c r="P37" s="16"/>
      <c r="Q37" s="81">
        <v>1.24E-2</v>
      </c>
      <c r="R37" s="13">
        <v>46297</v>
      </c>
      <c r="S37" s="11" t="s">
        <v>56</v>
      </c>
    </row>
    <row r="38" spans="1:19" ht="15" customHeight="1" x14ac:dyDescent="0.35">
      <c r="A38" s="10">
        <v>39</v>
      </c>
      <c r="B38" s="10" t="str">
        <f t="shared" ref="B38:B39" si="4">_xlfn.CONCAT(C38,"_",D38,"_",E38)</f>
        <v>20% BSG Mixture_Fibre_1</v>
      </c>
      <c r="C38" s="10" t="s">
        <v>15</v>
      </c>
      <c r="D38" s="10" t="s">
        <v>28</v>
      </c>
      <c r="E38" s="10">
        <v>1</v>
      </c>
      <c r="G38" s="80"/>
      <c r="H38" s="80"/>
      <c r="I38" s="16"/>
      <c r="J38" s="16"/>
      <c r="K38" s="16"/>
      <c r="L38" s="16"/>
      <c r="M38" s="16"/>
      <c r="N38" s="16"/>
      <c r="O38" s="16"/>
      <c r="P38" s="16"/>
      <c r="Q38" s="81">
        <v>3.1099999999999999E-2</v>
      </c>
      <c r="R38" s="13">
        <v>46297</v>
      </c>
      <c r="S38" s="11" t="s">
        <v>56</v>
      </c>
    </row>
    <row r="39" spans="1:19" ht="15" customHeight="1" x14ac:dyDescent="0.35">
      <c r="A39" s="10">
        <v>40</v>
      </c>
      <c r="B39" s="10" t="str">
        <f t="shared" si="4"/>
        <v>20% BSG Mixture_Fibre_2</v>
      </c>
      <c r="C39" s="10" t="s">
        <v>15</v>
      </c>
      <c r="D39" s="10" t="s">
        <v>28</v>
      </c>
      <c r="E39" s="10">
        <v>2</v>
      </c>
      <c r="G39" s="80"/>
      <c r="H39" s="80"/>
      <c r="I39" s="16"/>
      <c r="J39" s="16"/>
      <c r="K39" s="16"/>
      <c r="L39" s="16"/>
      <c r="M39" s="16"/>
      <c r="N39" s="16"/>
      <c r="O39" s="16"/>
      <c r="P39" s="16"/>
      <c r="Q39" s="81">
        <v>3.1699999999999999E-2</v>
      </c>
      <c r="R39" s="13">
        <v>46297</v>
      </c>
      <c r="S39" s="11" t="s">
        <v>56</v>
      </c>
    </row>
  </sheetData>
  <phoneticPr fontId="3"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B44D-A7E4-4243-B769-DEAD345C7014}">
  <dimension ref="A1:Z14"/>
  <sheetViews>
    <sheetView workbookViewId="0">
      <pane xSplit="3" ySplit="1" topLeftCell="W2" activePane="bottomRight" state="frozen"/>
      <selection pane="topRight"/>
      <selection pane="bottomLeft"/>
      <selection pane="bottomRight" activeCell="C17" sqref="C17"/>
    </sheetView>
  </sheetViews>
  <sheetFormatPr defaultRowHeight="15" customHeight="1" x14ac:dyDescent="0.35"/>
  <cols>
    <col min="2" max="2" width="18.54296875" customWidth="1"/>
    <col min="3" max="3" width="12.54296875" bestFit="1" customWidth="1"/>
    <col min="5" max="5" width="13.453125" customWidth="1"/>
    <col min="6" max="6" width="15.81640625" customWidth="1"/>
    <col min="7" max="7" width="15.26953125" customWidth="1"/>
    <col min="8" max="8" width="9.1796875" customWidth="1"/>
    <col min="9" max="9" width="12.81640625" customWidth="1"/>
    <col min="10" max="11" width="14.1796875" customWidth="1"/>
    <col min="12" max="12" width="20.1796875" customWidth="1"/>
    <col min="13" max="14" width="19.81640625" customWidth="1"/>
    <col min="15" max="15" width="11.1796875" customWidth="1"/>
    <col min="16" max="16" width="22.26953125" customWidth="1"/>
    <col min="17" max="17" width="20.54296875" customWidth="1"/>
    <col min="18" max="23" width="14.7265625" customWidth="1"/>
    <col min="24" max="24" width="10.453125" bestFit="1" customWidth="1"/>
    <col min="25" max="25" width="139.81640625" customWidth="1"/>
    <col min="26" max="26" width="219.453125" customWidth="1"/>
  </cols>
  <sheetData>
    <row r="1" spans="1:26" ht="27.75" customHeight="1" x14ac:dyDescent="0.35">
      <c r="A1" s="30" t="s">
        <v>57</v>
      </c>
      <c r="B1" s="30" t="s">
        <v>4</v>
      </c>
      <c r="C1" s="21" t="s">
        <v>3</v>
      </c>
      <c r="D1" s="21" t="s">
        <v>33</v>
      </c>
      <c r="E1" s="21" t="s">
        <v>58</v>
      </c>
      <c r="F1" s="21" t="s">
        <v>59</v>
      </c>
      <c r="G1" s="21" t="s">
        <v>60</v>
      </c>
      <c r="H1" s="21" t="s">
        <v>61</v>
      </c>
      <c r="I1" s="21" t="s">
        <v>62</v>
      </c>
      <c r="J1" s="78" t="s">
        <v>63</v>
      </c>
      <c r="K1" s="78" t="s">
        <v>64</v>
      </c>
      <c r="L1" s="21" t="s">
        <v>65</v>
      </c>
      <c r="M1" s="21" t="s">
        <v>66</v>
      </c>
      <c r="N1" s="78" t="s">
        <v>67</v>
      </c>
      <c r="O1" s="78" t="s">
        <v>68</v>
      </c>
      <c r="P1" s="21" t="s">
        <v>69</v>
      </c>
      <c r="Q1" s="21" t="s">
        <v>70</v>
      </c>
      <c r="R1" s="21" t="s">
        <v>71</v>
      </c>
      <c r="S1" s="21" t="s">
        <v>72</v>
      </c>
      <c r="T1" s="21" t="s">
        <v>73</v>
      </c>
      <c r="U1" s="21" t="s">
        <v>74</v>
      </c>
      <c r="V1" s="21" t="s">
        <v>75</v>
      </c>
      <c r="W1" s="21" t="s">
        <v>76</v>
      </c>
      <c r="X1" s="21" t="s">
        <v>45</v>
      </c>
      <c r="Y1" s="22" t="s">
        <v>46</v>
      </c>
      <c r="Z1" s="30" t="s">
        <v>77</v>
      </c>
    </row>
    <row r="2" spans="1:26" ht="14.5" x14ac:dyDescent="0.35">
      <c r="A2" s="24">
        <v>1</v>
      </c>
      <c r="B2" s="24" t="s">
        <v>10</v>
      </c>
      <c r="C2" s="24" t="s">
        <v>78</v>
      </c>
      <c r="D2" s="24">
        <v>1</v>
      </c>
      <c r="E2" s="24">
        <v>295.10000000000002</v>
      </c>
      <c r="F2" s="24">
        <v>12.55</v>
      </c>
      <c r="G2" s="24">
        <v>183.2</v>
      </c>
      <c r="H2" s="24">
        <v>20</v>
      </c>
      <c r="I2" s="24">
        <v>30</v>
      </c>
      <c r="J2" s="24">
        <v>501</v>
      </c>
      <c r="K2" s="24">
        <v>60.1</v>
      </c>
      <c r="L2" s="24">
        <v>60.1</v>
      </c>
      <c r="M2" s="24">
        <v>58.5</v>
      </c>
      <c r="N2" s="24">
        <v>2.2000000000000002</v>
      </c>
      <c r="O2" s="24">
        <v>8.1</v>
      </c>
      <c r="P2" s="24">
        <v>39</v>
      </c>
      <c r="Q2" s="24">
        <v>55</v>
      </c>
      <c r="R2" s="24">
        <v>65</v>
      </c>
      <c r="S2" s="31"/>
      <c r="T2" s="31"/>
      <c r="U2" s="31"/>
      <c r="V2" s="31"/>
      <c r="W2" s="31"/>
      <c r="X2" s="32">
        <v>45758</v>
      </c>
      <c r="Y2" s="24"/>
      <c r="Z2" s="38" t="s">
        <v>79</v>
      </c>
    </row>
    <row r="3" spans="1:26" ht="15" customHeight="1" x14ac:dyDescent="0.35">
      <c r="A3" s="24">
        <v>2</v>
      </c>
      <c r="B3" s="24" t="s">
        <v>80</v>
      </c>
      <c r="C3" s="24" t="s">
        <v>78</v>
      </c>
      <c r="D3" s="24">
        <v>1</v>
      </c>
      <c r="E3" s="24">
        <v>295.10000000000002</v>
      </c>
      <c r="F3" s="24">
        <v>12.6</v>
      </c>
      <c r="G3" s="24">
        <v>193.4</v>
      </c>
      <c r="H3" s="24">
        <v>30</v>
      </c>
      <c r="I3" s="24">
        <v>30</v>
      </c>
      <c r="J3" s="24">
        <v>527</v>
      </c>
      <c r="K3" s="24">
        <v>64.3</v>
      </c>
      <c r="L3" s="24">
        <v>65</v>
      </c>
      <c r="M3" s="24">
        <v>63.4</v>
      </c>
      <c r="N3" s="24">
        <v>9.9</v>
      </c>
      <c r="O3" s="24">
        <v>16.899999999999999</v>
      </c>
      <c r="P3" s="24">
        <v>4</v>
      </c>
      <c r="Q3" s="24">
        <v>34</v>
      </c>
      <c r="R3" s="24">
        <v>210</v>
      </c>
      <c r="S3" s="31"/>
      <c r="T3" s="31"/>
      <c r="U3" s="31"/>
      <c r="V3" s="31"/>
      <c r="W3" s="31"/>
      <c r="X3" s="32">
        <v>45758</v>
      </c>
      <c r="Y3" s="24"/>
      <c r="Z3" s="38" t="s">
        <v>79</v>
      </c>
    </row>
    <row r="4" spans="1:26" ht="15" customHeight="1" x14ac:dyDescent="0.35">
      <c r="A4" s="24">
        <v>3</v>
      </c>
      <c r="B4" s="24" t="s">
        <v>81</v>
      </c>
      <c r="C4" s="24" t="s">
        <v>78</v>
      </c>
      <c r="D4" s="24">
        <v>1</v>
      </c>
      <c r="E4" s="24">
        <v>295.10000000000002</v>
      </c>
      <c r="F4" s="24">
        <v>12.6</v>
      </c>
      <c r="G4" s="33"/>
      <c r="H4" s="24">
        <v>20</v>
      </c>
      <c r="I4" s="24">
        <v>30</v>
      </c>
      <c r="J4" s="24">
        <v>544</v>
      </c>
      <c r="K4" s="24">
        <v>65.2</v>
      </c>
      <c r="L4" s="24">
        <v>66.3</v>
      </c>
      <c r="M4" s="24">
        <v>64.7</v>
      </c>
      <c r="N4" s="24">
        <v>22.9</v>
      </c>
      <c r="O4" s="24">
        <v>21.8</v>
      </c>
      <c r="P4" s="24">
        <v>9</v>
      </c>
      <c r="Q4" s="24">
        <v>30</v>
      </c>
      <c r="R4" s="24">
        <v>339</v>
      </c>
      <c r="S4" s="31"/>
      <c r="T4" s="31"/>
      <c r="U4" s="31"/>
      <c r="V4" s="31"/>
      <c r="W4" s="31"/>
      <c r="X4" s="32">
        <v>45788</v>
      </c>
      <c r="Y4" s="24"/>
      <c r="Z4" s="38" t="s">
        <v>79</v>
      </c>
    </row>
    <row r="5" spans="1:26" ht="15" customHeight="1" x14ac:dyDescent="0.35">
      <c r="A5" s="34">
        <v>4</v>
      </c>
      <c r="B5" s="24" t="s">
        <v>82</v>
      </c>
      <c r="C5" s="24" t="s">
        <v>78</v>
      </c>
      <c r="D5" s="24">
        <v>1</v>
      </c>
      <c r="E5" s="24">
        <v>295.10000000000002</v>
      </c>
      <c r="F5" s="24">
        <v>12.6</v>
      </c>
      <c r="G5" s="33"/>
      <c r="H5" s="24">
        <v>30</v>
      </c>
      <c r="I5" s="24">
        <v>30</v>
      </c>
      <c r="J5" s="24">
        <v>543</v>
      </c>
      <c r="K5" s="24">
        <v>61.2</v>
      </c>
      <c r="L5" s="24">
        <v>62.3</v>
      </c>
      <c r="M5" s="24">
        <v>60.7</v>
      </c>
      <c r="N5" s="24">
        <v>8.3000000000000007</v>
      </c>
      <c r="O5" s="24">
        <v>14.1</v>
      </c>
      <c r="P5" s="24">
        <v>7</v>
      </c>
      <c r="Q5" s="24">
        <v>54</v>
      </c>
      <c r="R5" s="24">
        <v>171</v>
      </c>
      <c r="S5" s="31"/>
      <c r="T5" s="31"/>
      <c r="U5" s="31"/>
      <c r="V5" s="31"/>
      <c r="W5" s="31"/>
      <c r="X5" s="32" t="s">
        <v>83</v>
      </c>
      <c r="Y5" s="34" t="s">
        <v>84</v>
      </c>
      <c r="Z5" s="38" t="s">
        <v>79</v>
      </c>
    </row>
    <row r="6" spans="1:26" ht="15" customHeight="1" x14ac:dyDescent="0.35">
      <c r="A6" s="34">
        <v>4</v>
      </c>
      <c r="B6" s="24" t="s">
        <v>82</v>
      </c>
      <c r="C6" s="24" t="s">
        <v>78</v>
      </c>
      <c r="D6" s="24">
        <v>2</v>
      </c>
      <c r="E6" s="24">
        <v>295.10000000000002</v>
      </c>
      <c r="F6" s="24">
        <v>12.6</v>
      </c>
      <c r="G6" s="33"/>
      <c r="H6" s="24">
        <v>20</v>
      </c>
      <c r="I6" s="24">
        <v>30</v>
      </c>
      <c r="J6" s="24">
        <v>483</v>
      </c>
      <c r="K6" s="24">
        <v>61.2</v>
      </c>
      <c r="L6" s="24">
        <v>60.8</v>
      </c>
      <c r="M6" s="24">
        <v>59.2</v>
      </c>
      <c r="N6" s="24">
        <v>2.7</v>
      </c>
      <c r="O6" s="24">
        <v>7.1</v>
      </c>
      <c r="P6" s="24">
        <v>35</v>
      </c>
      <c r="Q6" s="24">
        <v>55</v>
      </c>
      <c r="R6" s="24">
        <v>93</v>
      </c>
      <c r="S6" s="31"/>
      <c r="T6" s="31"/>
      <c r="U6" s="31"/>
      <c r="V6" s="31"/>
      <c r="W6" s="31"/>
      <c r="X6" s="32" t="s">
        <v>83</v>
      </c>
      <c r="Y6" s="34" t="s">
        <v>84</v>
      </c>
      <c r="Z6" s="38" t="s">
        <v>79</v>
      </c>
    </row>
    <row r="7" spans="1:26" ht="15" customHeight="1" x14ac:dyDescent="0.35">
      <c r="A7" s="24">
        <v>4</v>
      </c>
      <c r="B7" s="24" t="s">
        <v>82</v>
      </c>
      <c r="C7" s="24" t="s">
        <v>78</v>
      </c>
      <c r="D7" s="24">
        <v>3</v>
      </c>
      <c r="E7" s="24">
        <v>295.10000000000002</v>
      </c>
      <c r="F7" s="24">
        <v>12.6</v>
      </c>
      <c r="G7" s="33"/>
      <c r="H7" s="24">
        <v>30</v>
      </c>
      <c r="I7" s="24">
        <v>30</v>
      </c>
      <c r="J7" s="24">
        <v>517</v>
      </c>
      <c r="K7" s="24">
        <v>67.2</v>
      </c>
      <c r="L7" s="24">
        <v>67.599999999999994</v>
      </c>
      <c r="M7" s="24">
        <v>66.2</v>
      </c>
      <c r="N7" s="24">
        <v>7.5</v>
      </c>
      <c r="O7" s="24">
        <v>12.7</v>
      </c>
      <c r="P7" s="24">
        <v>5</v>
      </c>
      <c r="Q7" s="24">
        <v>57</v>
      </c>
      <c r="R7" s="24">
        <v>160</v>
      </c>
      <c r="S7" s="31"/>
      <c r="T7" s="31"/>
      <c r="U7" s="31"/>
      <c r="V7" s="31"/>
      <c r="W7" s="31"/>
      <c r="X7" s="32" t="s">
        <v>85</v>
      </c>
      <c r="Y7" s="37"/>
      <c r="Z7" s="38" t="s">
        <v>79</v>
      </c>
    </row>
    <row r="8" spans="1:26" ht="15" customHeight="1" x14ac:dyDescent="0.35">
      <c r="A8" s="24">
        <v>5</v>
      </c>
      <c r="B8" s="24" t="s">
        <v>86</v>
      </c>
      <c r="C8" s="24" t="s">
        <v>78</v>
      </c>
      <c r="D8" s="24">
        <v>1</v>
      </c>
      <c r="E8" s="24">
        <v>295.10000000000002</v>
      </c>
      <c r="F8" s="24">
        <v>12.6</v>
      </c>
      <c r="G8" s="33"/>
      <c r="H8" s="24">
        <v>40</v>
      </c>
      <c r="I8" s="24">
        <v>30</v>
      </c>
      <c r="J8" s="24">
        <v>513</v>
      </c>
      <c r="K8" s="24">
        <v>68</v>
      </c>
      <c r="L8" s="24">
        <v>68.3</v>
      </c>
      <c r="M8" s="24">
        <v>66.7</v>
      </c>
      <c r="N8" s="24">
        <v>24</v>
      </c>
      <c r="O8" s="24">
        <v>25.9</v>
      </c>
      <c r="P8" s="24">
        <v>0</v>
      </c>
      <c r="Q8" s="24">
        <v>27</v>
      </c>
      <c r="R8" s="24">
        <v>355</v>
      </c>
      <c r="S8" s="31"/>
      <c r="T8" s="31"/>
      <c r="U8" s="31"/>
      <c r="V8" s="31"/>
      <c r="W8" s="31"/>
      <c r="X8" s="32" t="s">
        <v>83</v>
      </c>
      <c r="Y8" s="24"/>
      <c r="Z8" s="38" t="s">
        <v>79</v>
      </c>
    </row>
    <row r="9" spans="1:26" ht="15" customHeight="1" x14ac:dyDescent="0.35">
      <c r="A9" s="24">
        <v>1</v>
      </c>
      <c r="B9" s="24" t="s">
        <v>10</v>
      </c>
      <c r="C9" s="24" t="s">
        <v>87</v>
      </c>
      <c r="D9" s="24">
        <v>1</v>
      </c>
      <c r="E9" s="24">
        <v>80</v>
      </c>
      <c r="F9" s="24">
        <v>12.6</v>
      </c>
      <c r="G9" s="24">
        <v>450</v>
      </c>
      <c r="H9" s="24">
        <v>50</v>
      </c>
      <c r="I9" s="31"/>
      <c r="J9" s="31"/>
      <c r="K9" s="31"/>
      <c r="L9" s="31"/>
      <c r="M9" s="31"/>
      <c r="N9" s="31"/>
      <c r="O9" s="31"/>
      <c r="P9" s="31"/>
      <c r="Q9" s="31"/>
      <c r="R9" s="31"/>
      <c r="S9" s="24">
        <v>1.5</v>
      </c>
      <c r="T9" s="24" t="s">
        <v>88</v>
      </c>
      <c r="U9" s="24">
        <v>60.1</v>
      </c>
      <c r="V9" s="24">
        <v>87.3</v>
      </c>
      <c r="W9" s="24">
        <v>871</v>
      </c>
      <c r="X9" s="32" t="s">
        <v>83</v>
      </c>
      <c r="Y9" s="24"/>
      <c r="Z9" s="38" t="s">
        <v>89</v>
      </c>
    </row>
    <row r="10" spans="1:26" ht="15" customHeight="1" x14ac:dyDescent="0.35">
      <c r="A10" s="24">
        <v>1</v>
      </c>
      <c r="B10" s="24" t="s">
        <v>90</v>
      </c>
      <c r="C10" s="24" t="s">
        <v>87</v>
      </c>
      <c r="D10" s="24">
        <v>1</v>
      </c>
      <c r="E10" s="24">
        <v>80</v>
      </c>
      <c r="F10" s="24">
        <v>12.8</v>
      </c>
      <c r="G10" s="24">
        <v>450</v>
      </c>
      <c r="H10" s="24">
        <v>50</v>
      </c>
      <c r="I10" s="31"/>
      <c r="J10" s="31"/>
      <c r="K10" s="31"/>
      <c r="L10" s="31"/>
      <c r="M10" s="31"/>
      <c r="N10" s="31"/>
      <c r="O10" s="31"/>
      <c r="P10" s="31"/>
      <c r="Q10" s="31"/>
      <c r="R10" s="31"/>
      <c r="S10" s="24">
        <v>1.5</v>
      </c>
      <c r="T10" s="24" t="s">
        <v>91</v>
      </c>
      <c r="U10" s="24">
        <v>60.3</v>
      </c>
      <c r="V10" s="24">
        <v>90.1</v>
      </c>
      <c r="W10" s="24">
        <v>1178</v>
      </c>
      <c r="X10" s="32" t="s">
        <v>83</v>
      </c>
      <c r="Y10" s="24"/>
      <c r="Z10" s="38" t="s">
        <v>89</v>
      </c>
    </row>
    <row r="11" spans="1:26" ht="15" customHeight="1" x14ac:dyDescent="0.35">
      <c r="A11" s="24">
        <v>2</v>
      </c>
      <c r="B11" s="24" t="s">
        <v>80</v>
      </c>
      <c r="C11" s="24" t="s">
        <v>87</v>
      </c>
      <c r="D11" s="24">
        <v>1</v>
      </c>
      <c r="E11" s="24">
        <v>80</v>
      </c>
      <c r="F11" s="24">
        <v>12.6</v>
      </c>
      <c r="G11" s="24">
        <v>450</v>
      </c>
      <c r="H11" s="24">
        <v>50</v>
      </c>
      <c r="I11" s="31"/>
      <c r="J11" s="31"/>
      <c r="K11" s="31"/>
      <c r="L11" s="31"/>
      <c r="M11" s="31"/>
      <c r="N11" s="31"/>
      <c r="O11" s="31"/>
      <c r="P11" s="31"/>
      <c r="Q11" s="31"/>
      <c r="R11" s="31"/>
      <c r="S11" s="24">
        <v>1.5</v>
      </c>
      <c r="T11" s="24" t="s">
        <v>88</v>
      </c>
      <c r="U11" s="24">
        <v>61.6</v>
      </c>
      <c r="V11" s="24">
        <v>82.4</v>
      </c>
      <c r="W11" s="24">
        <v>441</v>
      </c>
      <c r="X11" s="32" t="s">
        <v>83</v>
      </c>
      <c r="Y11" s="37"/>
      <c r="Z11" s="38" t="s">
        <v>89</v>
      </c>
    </row>
    <row r="12" spans="1:26" ht="15" customHeight="1" x14ac:dyDescent="0.35">
      <c r="A12" s="24">
        <v>3</v>
      </c>
      <c r="B12" s="24" t="s">
        <v>81</v>
      </c>
      <c r="C12" s="24" t="s">
        <v>87</v>
      </c>
      <c r="D12" s="24">
        <v>1</v>
      </c>
      <c r="E12" s="24">
        <v>80</v>
      </c>
      <c r="F12" s="24">
        <v>12.6</v>
      </c>
      <c r="G12" s="24">
        <v>450</v>
      </c>
      <c r="H12" s="24">
        <v>50</v>
      </c>
      <c r="I12" s="31"/>
      <c r="J12" s="31"/>
      <c r="K12" s="31"/>
      <c r="L12" s="31"/>
      <c r="M12" s="31"/>
      <c r="N12" s="31"/>
      <c r="O12" s="31"/>
      <c r="P12" s="31"/>
      <c r="Q12" s="31"/>
      <c r="R12" s="31"/>
      <c r="S12" s="24">
        <v>1.5</v>
      </c>
      <c r="T12" s="24" t="s">
        <v>91</v>
      </c>
      <c r="U12" s="24">
        <v>61.5</v>
      </c>
      <c r="V12" s="24">
        <v>77.3</v>
      </c>
      <c r="W12" s="24">
        <v>192</v>
      </c>
      <c r="X12" s="32" t="s">
        <v>92</v>
      </c>
      <c r="Y12" s="37" t="s">
        <v>93</v>
      </c>
      <c r="Z12" s="38" t="s">
        <v>89</v>
      </c>
    </row>
    <row r="13" spans="1:26" ht="15" customHeight="1" x14ac:dyDescent="0.35">
      <c r="A13" s="24">
        <v>4</v>
      </c>
      <c r="B13" s="24" t="s">
        <v>82</v>
      </c>
      <c r="C13" s="24" t="s">
        <v>87</v>
      </c>
      <c r="D13" s="24">
        <v>1</v>
      </c>
      <c r="E13" s="24">
        <v>80</v>
      </c>
      <c r="F13" s="24">
        <v>12.6</v>
      </c>
      <c r="G13" s="24">
        <v>450</v>
      </c>
      <c r="H13" s="24">
        <v>50</v>
      </c>
      <c r="I13" s="31"/>
      <c r="J13" s="31"/>
      <c r="K13" s="31"/>
      <c r="L13" s="31"/>
      <c r="M13" s="31"/>
      <c r="N13" s="31"/>
      <c r="O13" s="31"/>
      <c r="P13" s="31"/>
      <c r="Q13" s="31"/>
      <c r="R13" s="31"/>
      <c r="S13" s="24">
        <v>1.5</v>
      </c>
      <c r="T13" s="24" t="s">
        <v>91</v>
      </c>
      <c r="U13" s="24">
        <v>61.5</v>
      </c>
      <c r="V13" s="24">
        <v>84.5</v>
      </c>
      <c r="W13" s="24">
        <v>499</v>
      </c>
      <c r="X13" s="24" t="s">
        <v>94</v>
      </c>
      <c r="Y13" s="37" t="s">
        <v>95</v>
      </c>
      <c r="Z13" s="38" t="s">
        <v>89</v>
      </c>
    </row>
    <row r="14" spans="1:26" ht="15" customHeight="1" x14ac:dyDescent="0.35">
      <c r="A14" s="24">
        <v>5</v>
      </c>
      <c r="B14" s="24" t="s">
        <v>86</v>
      </c>
      <c r="C14" s="24" t="s">
        <v>87</v>
      </c>
      <c r="D14" s="24">
        <v>1</v>
      </c>
      <c r="E14" s="24">
        <v>80</v>
      </c>
      <c r="F14" s="24">
        <v>12.8</v>
      </c>
      <c r="G14" s="24">
        <v>450</v>
      </c>
      <c r="H14" s="24">
        <v>50</v>
      </c>
      <c r="I14" s="31"/>
      <c r="J14" s="31"/>
      <c r="K14" s="31"/>
      <c r="L14" s="31"/>
      <c r="M14" s="31"/>
      <c r="N14" s="31"/>
      <c r="O14" s="31"/>
      <c r="P14" s="31"/>
      <c r="Q14" s="31"/>
      <c r="R14" s="31"/>
      <c r="S14" s="24">
        <v>1.5</v>
      </c>
      <c r="T14" s="24" t="s">
        <v>91</v>
      </c>
      <c r="U14" s="24">
        <v>61</v>
      </c>
      <c r="V14" s="24">
        <v>81.599999999999994</v>
      </c>
      <c r="W14" s="24">
        <v>335</v>
      </c>
      <c r="X14" s="24" t="s">
        <v>94</v>
      </c>
      <c r="Y14" s="37" t="s">
        <v>96</v>
      </c>
      <c r="Z14" s="38" t="s">
        <v>89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8BC0-13D3-4E8F-98CF-61E01690D857}">
  <dimension ref="A1:P16"/>
  <sheetViews>
    <sheetView showGridLines="0" topLeftCell="B1" workbookViewId="0">
      <selection activeCell="D9" sqref="D9"/>
    </sheetView>
  </sheetViews>
  <sheetFormatPr defaultRowHeight="15" customHeight="1" x14ac:dyDescent="0.35"/>
  <cols>
    <col min="1" max="1" width="4.26953125" customWidth="1"/>
    <col min="2" max="3" width="5.81640625" customWidth="1"/>
    <col min="4" max="4" width="28.1796875" customWidth="1"/>
    <col min="5" max="5" width="7.54296875" customWidth="1"/>
    <col min="6" max="6" width="11.1796875" customWidth="1"/>
    <col min="7" max="7" width="7.453125" customWidth="1"/>
    <col min="8" max="8" width="6.453125" customWidth="1"/>
    <col min="9" max="9" width="7.1796875" customWidth="1"/>
    <col min="10" max="10" width="8.26953125" customWidth="1"/>
    <col min="11" max="11" width="9" customWidth="1"/>
    <col min="12" max="12" width="10.7265625" customWidth="1"/>
    <col min="13" max="13" width="10.453125" customWidth="1"/>
    <col min="14" max="14" width="13.1796875" customWidth="1"/>
    <col min="15" max="15" width="11.453125" style="89" bestFit="1" customWidth="1"/>
    <col min="16" max="16" width="51.453125" customWidth="1"/>
  </cols>
  <sheetData>
    <row r="1" spans="1:16" ht="43.5" customHeight="1" x14ac:dyDescent="0.35">
      <c r="A1" s="215"/>
      <c r="B1" s="216"/>
      <c r="C1" s="217"/>
      <c r="D1" s="127"/>
      <c r="E1" s="209" t="s">
        <v>97</v>
      </c>
      <c r="F1" s="209"/>
      <c r="G1" s="209"/>
      <c r="H1" s="209"/>
      <c r="I1" s="209"/>
      <c r="J1" s="209"/>
      <c r="K1" s="210" t="s">
        <v>98</v>
      </c>
      <c r="L1" s="211"/>
      <c r="M1" s="211"/>
      <c r="N1" s="212"/>
      <c r="O1" s="213"/>
      <c r="P1" s="214"/>
    </row>
    <row r="2" spans="1:16" ht="28.5" customHeight="1" x14ac:dyDescent="0.35">
      <c r="A2" s="218"/>
      <c r="B2" s="219"/>
      <c r="C2" s="220"/>
      <c r="D2" s="25" t="s">
        <v>99</v>
      </c>
      <c r="E2" s="22" t="s">
        <v>100</v>
      </c>
      <c r="F2" s="128" t="s">
        <v>101</v>
      </c>
      <c r="G2" s="22" t="s">
        <v>102</v>
      </c>
      <c r="H2" s="22" t="s">
        <v>103</v>
      </c>
      <c r="I2" s="22" t="s">
        <v>104</v>
      </c>
      <c r="J2" s="22" t="s">
        <v>105</v>
      </c>
      <c r="K2" s="26" t="s">
        <v>106</v>
      </c>
      <c r="L2" s="27" t="s">
        <v>107</v>
      </c>
      <c r="M2" s="27" t="s">
        <v>108</v>
      </c>
      <c r="N2" s="129" t="s">
        <v>109</v>
      </c>
      <c r="O2" s="126" t="s">
        <v>45</v>
      </c>
      <c r="P2" s="138" t="s">
        <v>46</v>
      </c>
    </row>
    <row r="3" spans="1:16" ht="14.5" x14ac:dyDescent="0.35">
      <c r="A3" s="130" t="s">
        <v>135</v>
      </c>
      <c r="B3" s="125">
        <v>1</v>
      </c>
      <c r="C3" s="125" t="s">
        <v>10</v>
      </c>
      <c r="D3" s="28" t="str">
        <f>_xlfn.CONCAT(A3,"_",B3,"_",C3)</f>
        <v>A_1_Flour</v>
      </c>
      <c r="E3" s="24">
        <v>250</v>
      </c>
      <c r="F3" s="24">
        <v>0</v>
      </c>
      <c r="G3" s="24">
        <v>10</v>
      </c>
      <c r="H3" s="24">
        <v>5</v>
      </c>
      <c r="I3" s="24">
        <v>2.5</v>
      </c>
      <c r="J3" s="24">
        <v>162</v>
      </c>
      <c r="K3" s="29">
        <v>411.7</v>
      </c>
      <c r="L3" s="24">
        <v>353.5</v>
      </c>
      <c r="M3" s="24">
        <v>925</v>
      </c>
      <c r="N3" s="131">
        <f>10.5/11</f>
        <v>0.95454545454545459</v>
      </c>
      <c r="O3" s="32" t="s">
        <v>94</v>
      </c>
      <c r="P3" s="139"/>
    </row>
    <row r="4" spans="1:16" ht="14.5" x14ac:dyDescent="0.35">
      <c r="A4" s="130" t="s">
        <v>135</v>
      </c>
      <c r="B4" s="125">
        <v>2</v>
      </c>
      <c r="C4" s="125" t="s">
        <v>80</v>
      </c>
      <c r="D4" s="28" t="str">
        <f t="shared" ref="D4:D16" si="0">_xlfn.CONCAT(A4,"_",B4,"_",C4)</f>
        <v>A_2_10%_BSG</v>
      </c>
      <c r="E4" s="24">
        <v>250</v>
      </c>
      <c r="F4" s="24">
        <v>10</v>
      </c>
      <c r="G4" s="24">
        <v>10</v>
      </c>
      <c r="H4" s="24">
        <v>5</v>
      </c>
      <c r="I4" s="24">
        <v>2.5</v>
      </c>
      <c r="J4" s="24">
        <v>165</v>
      </c>
      <c r="K4" s="29">
        <v>417.2</v>
      </c>
      <c r="L4" s="24">
        <v>362.6</v>
      </c>
      <c r="M4" s="24">
        <v>775</v>
      </c>
      <c r="N4" s="131">
        <f>9.8/10.2</f>
        <v>0.96078431372549034</v>
      </c>
      <c r="O4" s="32" t="s">
        <v>94</v>
      </c>
      <c r="P4" s="139"/>
    </row>
    <row r="5" spans="1:16" ht="14.5" x14ac:dyDescent="0.35">
      <c r="A5" s="130" t="s">
        <v>135</v>
      </c>
      <c r="B5" s="125">
        <v>3</v>
      </c>
      <c r="C5" s="125" t="s">
        <v>81</v>
      </c>
      <c r="D5" s="28" t="str">
        <f t="shared" si="0"/>
        <v>A_3_20%_BSG</v>
      </c>
      <c r="E5" s="24">
        <v>250</v>
      </c>
      <c r="F5" s="24">
        <v>20</v>
      </c>
      <c r="G5" s="24">
        <v>10</v>
      </c>
      <c r="H5" s="24">
        <v>5</v>
      </c>
      <c r="I5" s="24">
        <v>2.5</v>
      </c>
      <c r="J5" s="24">
        <v>180</v>
      </c>
      <c r="K5" s="29">
        <v>432.8</v>
      </c>
      <c r="L5" s="24">
        <v>375.2</v>
      </c>
      <c r="M5" s="24">
        <v>680</v>
      </c>
      <c r="N5" s="131">
        <f>9/10.3</f>
        <v>0.87378640776699024</v>
      </c>
      <c r="O5" s="32" t="s">
        <v>94</v>
      </c>
      <c r="P5" s="139"/>
    </row>
    <row r="6" spans="1:16" ht="14.5" x14ac:dyDescent="0.35">
      <c r="A6" s="130" t="s">
        <v>135</v>
      </c>
      <c r="B6" s="125">
        <v>4</v>
      </c>
      <c r="C6" s="125" t="s">
        <v>82</v>
      </c>
      <c r="D6" s="28" t="str">
        <f t="shared" si="0"/>
        <v>A_4_10%_BSG+70ppmE</v>
      </c>
      <c r="E6" s="24">
        <v>250</v>
      </c>
      <c r="F6" s="24">
        <v>10</v>
      </c>
      <c r="G6" s="24">
        <v>10</v>
      </c>
      <c r="H6" s="24">
        <v>5</v>
      </c>
      <c r="I6" s="24">
        <v>2.5</v>
      </c>
      <c r="J6" s="24">
        <v>175</v>
      </c>
      <c r="K6" s="29">
        <v>416</v>
      </c>
      <c r="L6" s="24">
        <v>357.6</v>
      </c>
      <c r="M6" s="24">
        <v>825</v>
      </c>
      <c r="N6" s="131">
        <f>10/10.4</f>
        <v>0.96153846153846145</v>
      </c>
      <c r="O6" s="32" t="s">
        <v>94</v>
      </c>
      <c r="P6" s="139"/>
    </row>
    <row r="7" spans="1:16" thickBot="1" x14ac:dyDescent="0.4">
      <c r="A7" s="132" t="s">
        <v>135</v>
      </c>
      <c r="B7" s="133">
        <v>5</v>
      </c>
      <c r="C7" s="133" t="s">
        <v>86</v>
      </c>
      <c r="D7" s="134" t="str">
        <f t="shared" si="0"/>
        <v>A_5_20%_BSG+70ppmE</v>
      </c>
      <c r="E7" s="135">
        <v>250</v>
      </c>
      <c r="F7" s="135">
        <v>20</v>
      </c>
      <c r="G7" s="135">
        <v>10</v>
      </c>
      <c r="H7" s="135">
        <v>5</v>
      </c>
      <c r="I7" s="135">
        <v>2.5</v>
      </c>
      <c r="J7" s="135">
        <v>190</v>
      </c>
      <c r="K7" s="136">
        <v>437.3</v>
      </c>
      <c r="L7" s="135">
        <v>374.8</v>
      </c>
      <c r="M7" s="135">
        <v>725</v>
      </c>
      <c r="N7" s="137">
        <f>9/10.1</f>
        <v>0.8910891089108911</v>
      </c>
      <c r="O7" s="145" t="s">
        <v>94</v>
      </c>
      <c r="P7" s="144"/>
    </row>
    <row r="8" spans="1:16" ht="14.5" x14ac:dyDescent="0.35">
      <c r="A8" s="140" t="s">
        <v>136</v>
      </c>
      <c r="B8" s="28">
        <v>1</v>
      </c>
      <c r="C8" s="28" t="s">
        <v>10</v>
      </c>
      <c r="D8" s="28" t="str">
        <f t="shared" si="0"/>
        <v>B_1_Flour</v>
      </c>
      <c r="E8" s="29">
        <v>250</v>
      </c>
      <c r="F8" s="24">
        <v>0</v>
      </c>
      <c r="G8" s="24">
        <v>10</v>
      </c>
      <c r="H8" s="24">
        <v>5</v>
      </c>
      <c r="I8" s="24">
        <v>2.5</v>
      </c>
      <c r="J8" s="24">
        <v>170</v>
      </c>
      <c r="K8" s="29">
        <v>425.35</v>
      </c>
      <c r="L8" s="24">
        <v>370.11</v>
      </c>
      <c r="M8" s="24">
        <v>975</v>
      </c>
      <c r="N8" s="141">
        <f>11.2/10.9</f>
        <v>1.0275229357798163</v>
      </c>
      <c r="O8" s="94">
        <v>46176</v>
      </c>
      <c r="P8" s="139"/>
    </row>
    <row r="9" spans="1:16" ht="14.5" x14ac:dyDescent="0.35">
      <c r="A9" s="130" t="s">
        <v>136</v>
      </c>
      <c r="B9" s="125">
        <v>2</v>
      </c>
      <c r="C9" s="125" t="s">
        <v>16</v>
      </c>
      <c r="D9" s="28" t="str">
        <f t="shared" si="0"/>
        <v>B_2_10% BSG+70ppmE</v>
      </c>
      <c r="E9" s="29">
        <v>250</v>
      </c>
      <c r="F9" s="24">
        <v>10</v>
      </c>
      <c r="G9" s="24">
        <v>10</v>
      </c>
      <c r="H9" s="24">
        <v>5</v>
      </c>
      <c r="I9" s="24">
        <v>2.5</v>
      </c>
      <c r="J9" s="24">
        <v>190</v>
      </c>
      <c r="K9" s="29">
        <v>443.95</v>
      </c>
      <c r="L9" s="24">
        <v>384.45</v>
      </c>
      <c r="M9" s="24">
        <v>975</v>
      </c>
      <c r="N9" s="141">
        <f>10.9/10.6</f>
        <v>1.0283018867924529</v>
      </c>
      <c r="O9" s="94">
        <v>46176</v>
      </c>
      <c r="P9" s="139"/>
    </row>
    <row r="10" spans="1:16" ht="14.5" x14ac:dyDescent="0.35">
      <c r="A10" s="130" t="s">
        <v>136</v>
      </c>
      <c r="B10" s="125">
        <v>3</v>
      </c>
      <c r="C10" s="125" t="s">
        <v>18</v>
      </c>
      <c r="D10" s="28" t="str">
        <f t="shared" si="0"/>
        <v>B_3_20% BSG+70ppmE</v>
      </c>
      <c r="E10" s="29">
        <v>250</v>
      </c>
      <c r="F10" s="24">
        <v>20</v>
      </c>
      <c r="G10" s="24">
        <v>10</v>
      </c>
      <c r="H10" s="24">
        <v>5</v>
      </c>
      <c r="I10" s="24">
        <v>2.5</v>
      </c>
      <c r="J10" s="24">
        <v>200</v>
      </c>
      <c r="K10" s="29">
        <v>456.24</v>
      </c>
      <c r="L10" s="24">
        <v>396.45</v>
      </c>
      <c r="M10" s="24">
        <v>750</v>
      </c>
      <c r="N10" s="141">
        <f>9.9/10.5</f>
        <v>0.94285714285714284</v>
      </c>
      <c r="O10" s="94">
        <v>46176</v>
      </c>
      <c r="P10" s="139"/>
    </row>
    <row r="11" spans="1:16" ht="14.5" x14ac:dyDescent="0.35">
      <c r="A11" s="130" t="s">
        <v>136</v>
      </c>
      <c r="B11" s="125">
        <v>4</v>
      </c>
      <c r="C11" s="125" t="s">
        <v>20</v>
      </c>
      <c r="D11" s="28" t="str">
        <f t="shared" si="0"/>
        <v>B_4_10% BSG_fraction+70ppmE</v>
      </c>
      <c r="E11" s="29">
        <v>250</v>
      </c>
      <c r="F11" s="24">
        <v>10</v>
      </c>
      <c r="G11" s="24">
        <v>10</v>
      </c>
      <c r="H11" s="24">
        <v>5</v>
      </c>
      <c r="I11" s="24">
        <v>2.5</v>
      </c>
      <c r="J11" s="24">
        <v>200</v>
      </c>
      <c r="K11" s="29">
        <v>458.37</v>
      </c>
      <c r="L11" s="24">
        <v>389.82</v>
      </c>
      <c r="M11" s="24">
        <v>925</v>
      </c>
      <c r="N11" s="141">
        <f>10.9/10.8</f>
        <v>1.0092592592592593</v>
      </c>
      <c r="O11" s="94">
        <v>46176</v>
      </c>
      <c r="P11" s="139"/>
    </row>
    <row r="12" spans="1:16" ht="14.5" x14ac:dyDescent="0.35">
      <c r="A12" s="130" t="s">
        <v>136</v>
      </c>
      <c r="B12" s="125">
        <v>5</v>
      </c>
      <c r="C12" s="125" t="s">
        <v>21</v>
      </c>
      <c r="D12" s="28" t="str">
        <f t="shared" si="0"/>
        <v>B_5_20% BSG_fraction+70ppmE</v>
      </c>
      <c r="E12" s="29">
        <v>250</v>
      </c>
      <c r="F12" s="24">
        <v>20</v>
      </c>
      <c r="G12" s="24">
        <v>10</v>
      </c>
      <c r="H12" s="24">
        <v>5</v>
      </c>
      <c r="I12" s="24">
        <v>2.5</v>
      </c>
      <c r="J12" s="24">
        <v>210</v>
      </c>
      <c r="K12" s="29">
        <v>465.69</v>
      </c>
      <c r="L12" s="24">
        <v>402.21</v>
      </c>
      <c r="M12" s="24">
        <v>600</v>
      </c>
      <c r="N12" s="141">
        <f>8.6/10.5</f>
        <v>0.81904761904761902</v>
      </c>
      <c r="O12" s="94">
        <v>46176</v>
      </c>
      <c r="P12" s="139"/>
    </row>
    <row r="13" spans="1:16" ht="15" customHeight="1" x14ac:dyDescent="0.35">
      <c r="A13" s="130" t="s">
        <v>136</v>
      </c>
      <c r="B13" s="125">
        <v>6</v>
      </c>
      <c r="C13" s="125" t="s">
        <v>22</v>
      </c>
      <c r="D13" s="28" t="str">
        <f t="shared" si="0"/>
        <v>B_6_10% BSG+140ppmE</v>
      </c>
      <c r="E13" s="29">
        <v>250</v>
      </c>
      <c r="F13" s="24">
        <v>10</v>
      </c>
      <c r="G13" s="24">
        <v>10</v>
      </c>
      <c r="H13" s="24">
        <v>5</v>
      </c>
      <c r="I13" s="24">
        <v>2.5</v>
      </c>
      <c r="J13" s="24">
        <v>190</v>
      </c>
      <c r="K13" s="29">
        <v>447.25</v>
      </c>
      <c r="L13" s="24">
        <v>380.64</v>
      </c>
      <c r="M13" s="24">
        <v>1050</v>
      </c>
      <c r="N13" s="141">
        <f>11.5/11.1</f>
        <v>1.0360360360360361</v>
      </c>
      <c r="O13" s="94">
        <v>46176</v>
      </c>
      <c r="P13" s="139"/>
    </row>
    <row r="14" spans="1:16" ht="15" customHeight="1" x14ac:dyDescent="0.35">
      <c r="A14" s="130" t="s">
        <v>136</v>
      </c>
      <c r="B14" s="125">
        <v>7</v>
      </c>
      <c r="C14" s="125" t="s">
        <v>23</v>
      </c>
      <c r="D14" s="28" t="str">
        <f t="shared" si="0"/>
        <v>B_7_20% BSG+140ppmE</v>
      </c>
      <c r="E14" s="29">
        <v>250</v>
      </c>
      <c r="F14" s="24">
        <v>20</v>
      </c>
      <c r="G14" s="24">
        <v>10</v>
      </c>
      <c r="H14" s="24">
        <v>5</v>
      </c>
      <c r="I14" s="24">
        <v>2.5</v>
      </c>
      <c r="J14" s="24">
        <v>200</v>
      </c>
      <c r="K14" s="29">
        <v>462.49</v>
      </c>
      <c r="L14" s="24">
        <v>399.35</v>
      </c>
      <c r="M14" s="24">
        <v>850</v>
      </c>
      <c r="N14" s="141">
        <f>10/11</f>
        <v>0.90909090909090906</v>
      </c>
      <c r="O14" s="94">
        <v>46176</v>
      </c>
      <c r="P14" s="139"/>
    </row>
    <row r="15" spans="1:16" ht="15" customHeight="1" x14ac:dyDescent="0.35">
      <c r="A15" s="130" t="s">
        <v>136</v>
      </c>
      <c r="B15" s="125">
        <v>8</v>
      </c>
      <c r="C15" s="125" t="s">
        <v>26</v>
      </c>
      <c r="D15" s="28" t="str">
        <f t="shared" si="0"/>
        <v>B_8_10% BSG_fraction+140ppmE</v>
      </c>
      <c r="E15" s="29">
        <v>250</v>
      </c>
      <c r="F15" s="24">
        <v>10</v>
      </c>
      <c r="G15" s="24">
        <v>10</v>
      </c>
      <c r="H15" s="24">
        <v>5</v>
      </c>
      <c r="I15" s="24">
        <v>2.5</v>
      </c>
      <c r="J15" s="24">
        <v>190</v>
      </c>
      <c r="K15" s="29">
        <v>437.88</v>
      </c>
      <c r="L15" s="24">
        <v>381.67</v>
      </c>
      <c r="M15" s="24">
        <v>725</v>
      </c>
      <c r="N15" s="141">
        <f>10.6/10.7</f>
        <v>0.99065420560747663</v>
      </c>
      <c r="O15" s="94">
        <v>46176</v>
      </c>
      <c r="P15" s="139"/>
    </row>
    <row r="16" spans="1:16" ht="15" customHeight="1" thickBot="1" x14ac:dyDescent="0.4">
      <c r="A16" s="132" t="s">
        <v>136</v>
      </c>
      <c r="B16" s="133">
        <v>9</v>
      </c>
      <c r="C16" s="133" t="s">
        <v>27</v>
      </c>
      <c r="D16" s="134" t="str">
        <f t="shared" si="0"/>
        <v>B_9_20% BSG_fraction+140ppmE</v>
      </c>
      <c r="E16" s="136">
        <v>250</v>
      </c>
      <c r="F16" s="135">
        <v>20</v>
      </c>
      <c r="G16" s="135">
        <v>10</v>
      </c>
      <c r="H16" s="135">
        <v>5</v>
      </c>
      <c r="I16" s="135">
        <v>2.5</v>
      </c>
      <c r="J16" s="135">
        <v>220</v>
      </c>
      <c r="K16" s="136">
        <v>468.62</v>
      </c>
      <c r="L16" s="135">
        <v>412.18</v>
      </c>
      <c r="M16" s="135">
        <v>775</v>
      </c>
      <c r="N16" s="142">
        <f>9.5/10.5</f>
        <v>0.90476190476190477</v>
      </c>
      <c r="O16" s="143">
        <v>46176</v>
      </c>
      <c r="P16" s="144"/>
    </row>
  </sheetData>
  <mergeCells count="4">
    <mergeCell ref="E1:J1"/>
    <mergeCell ref="K1:N1"/>
    <mergeCell ref="O1:P1"/>
    <mergeCell ref="A1:C2"/>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15781-66CB-425F-B1E1-666FB6ACE090}">
  <dimension ref="A1:R99"/>
  <sheetViews>
    <sheetView showGridLines="0" zoomScale="85" zoomScaleNormal="85" workbookViewId="0">
      <pane xSplit="4" ySplit="1" topLeftCell="E33" activePane="bottomRight" state="frozen"/>
      <selection pane="topRight"/>
      <selection pane="bottomLeft"/>
      <selection pane="bottomRight" activeCell="M43" sqref="M43"/>
    </sheetView>
  </sheetViews>
  <sheetFormatPr defaultColWidth="8.7265625" defaultRowHeight="15" customHeight="1" x14ac:dyDescent="0.35"/>
  <cols>
    <col min="1" max="1" width="3.7265625" customWidth="1"/>
    <col min="2" max="2" width="5.54296875" style="10" customWidth="1"/>
    <col min="3" max="3" width="31.08984375" style="10" customWidth="1"/>
    <col min="4" max="4" width="18.36328125" style="10" customWidth="1"/>
    <col min="5" max="5" width="10" style="10" customWidth="1"/>
    <col min="6" max="6" width="4.54296875" style="10" customWidth="1"/>
    <col min="7" max="7" width="9.1796875" style="10" customWidth="1"/>
    <col min="8" max="8" width="9.81640625" style="10" customWidth="1"/>
    <col min="9" max="9" width="13.54296875" style="10" customWidth="1"/>
    <col min="10" max="10" width="11.81640625" style="10" customWidth="1"/>
    <col min="11" max="11" width="12.453125" style="10" customWidth="1"/>
    <col min="12" max="13" width="11.1796875" style="10" customWidth="1"/>
    <col min="14" max="14" width="8.81640625" style="10" customWidth="1"/>
    <col min="15" max="15" width="12.7265625" style="10" customWidth="1"/>
    <col min="16" max="16" width="16.1796875" style="10" customWidth="1"/>
    <col min="17" max="17" width="11.1796875" style="10" customWidth="1"/>
    <col min="18" max="18" width="52.6328125" style="10" customWidth="1"/>
    <col min="19" max="19" width="10.6328125" style="10" customWidth="1"/>
    <col min="20" max="21" width="9.1796875" style="10"/>
    <col min="22" max="25" width="8.7265625" style="10" customWidth="1"/>
    <col min="26" max="16384" width="8.7265625" style="10"/>
  </cols>
  <sheetData>
    <row r="1" spans="1:18" s="17" customFormat="1" ht="42.75" customHeight="1" x14ac:dyDescent="0.35">
      <c r="A1" s="17" t="s">
        <v>31</v>
      </c>
      <c r="B1" s="123" t="s">
        <v>139</v>
      </c>
      <c r="C1" s="17" t="s">
        <v>32</v>
      </c>
      <c r="D1" s="17" t="s">
        <v>4</v>
      </c>
      <c r="E1" s="17" t="s">
        <v>3</v>
      </c>
      <c r="F1" s="17" t="s">
        <v>33</v>
      </c>
      <c r="G1" s="17" t="s">
        <v>34</v>
      </c>
      <c r="H1" s="17" t="s">
        <v>35</v>
      </c>
      <c r="I1" s="17" t="s">
        <v>36</v>
      </c>
      <c r="J1" s="17" t="s">
        <v>37</v>
      </c>
      <c r="K1" s="17" t="s">
        <v>39</v>
      </c>
      <c r="L1" s="17" t="s">
        <v>40</v>
      </c>
      <c r="M1" s="17" t="s">
        <v>110</v>
      </c>
      <c r="N1" s="17" t="s">
        <v>41</v>
      </c>
      <c r="O1" s="17" t="s">
        <v>42</v>
      </c>
      <c r="P1" s="17" t="s">
        <v>44</v>
      </c>
      <c r="Q1" s="17" t="s">
        <v>45</v>
      </c>
      <c r="R1" s="17" t="s">
        <v>46</v>
      </c>
    </row>
    <row r="2" spans="1:18" ht="14.5" x14ac:dyDescent="0.35">
      <c r="A2" s="10">
        <v>1</v>
      </c>
      <c r="B2" s="124" t="s">
        <v>135</v>
      </c>
      <c r="C2" s="10" t="str">
        <f t="shared" ref="C2:C33" si="0">_xlfn.CONCAT(D2,"_",E2,"_",B2,"_",F2)</f>
        <v>Flour_Moisture_A_1</v>
      </c>
      <c r="D2" s="10" t="s">
        <v>10</v>
      </c>
      <c r="E2" s="10" t="s">
        <v>9</v>
      </c>
      <c r="F2" s="10">
        <v>1</v>
      </c>
      <c r="G2" s="10">
        <v>485</v>
      </c>
      <c r="H2" s="10">
        <v>5.0049999999999999</v>
      </c>
      <c r="I2" s="11">
        <f>SUM(_xlfn.XLOOKUP(Table27[[#This Row],[Recipient number]],Extra_RecipientsWeight!A:A,Extra_RecipientsWeight!B:B)+H2)</f>
        <v>31.951599999999999</v>
      </c>
      <c r="J2" s="10">
        <v>31.4846</v>
      </c>
      <c r="K2" s="39">
        <f>(Table27[[#This Row],[Incial Weight (g)]]-Table27[[#This Row],[Final Weight (g)]])/Table27[[#This Row],[Sample Weight (g)]]</f>
        <v>9.3306693306693056E-2</v>
      </c>
      <c r="L2" s="40">
        <f>1-K2</f>
        <v>0.90669330669330694</v>
      </c>
      <c r="M2" s="15"/>
      <c r="N2" s="12"/>
      <c r="O2" s="12"/>
      <c r="P2" s="12"/>
      <c r="Q2" s="157">
        <v>45981</v>
      </c>
      <c r="R2" s="11"/>
    </row>
    <row r="3" spans="1:18" ht="14.5" x14ac:dyDescent="0.35">
      <c r="A3" s="10">
        <v>2</v>
      </c>
      <c r="B3" s="124" t="s">
        <v>135</v>
      </c>
      <c r="C3" s="10" t="str">
        <f t="shared" si="0"/>
        <v>10% BSG_Moisture_A_1</v>
      </c>
      <c r="D3" s="43" t="s">
        <v>12</v>
      </c>
      <c r="E3" s="10" t="s">
        <v>9</v>
      </c>
      <c r="F3" s="10">
        <v>1</v>
      </c>
      <c r="G3" s="10">
        <v>566</v>
      </c>
      <c r="H3" s="11">
        <v>5.0099</v>
      </c>
      <c r="I3" s="11">
        <f>SUM(_xlfn.XLOOKUP(Table27[[#This Row],[Recipient number]],Extra_RecipientsWeight!A:A,Extra_RecipientsWeight!B:B)+H3)</f>
        <v>27.677599999999998</v>
      </c>
      <c r="J3" s="11">
        <v>27.2255</v>
      </c>
      <c r="K3" s="39">
        <f>(Table27[[#This Row],[Incial Weight (g)]]-Table27[[#This Row],[Final Weight (g)]])/Table27[[#This Row],[Sample Weight (g)]]</f>
        <v>9.0241322182079073E-2</v>
      </c>
      <c r="L3" s="40">
        <f>1-K3</f>
        <v>0.90975867781792097</v>
      </c>
      <c r="M3" s="15"/>
      <c r="N3" s="15"/>
      <c r="O3" s="15"/>
      <c r="P3" s="15"/>
      <c r="Q3" s="157">
        <v>45981</v>
      </c>
      <c r="R3" s="11"/>
    </row>
    <row r="4" spans="1:18" ht="14.5" x14ac:dyDescent="0.35">
      <c r="A4" s="10">
        <v>3</v>
      </c>
      <c r="B4" s="124" t="s">
        <v>135</v>
      </c>
      <c r="C4" s="10" t="str">
        <f t="shared" si="0"/>
        <v>20% BSG _Moisture_A_1</v>
      </c>
      <c r="D4" s="10" t="s">
        <v>14</v>
      </c>
      <c r="E4" s="10" t="s">
        <v>9</v>
      </c>
      <c r="F4" s="10">
        <v>1</v>
      </c>
      <c r="G4" s="10">
        <v>462</v>
      </c>
      <c r="H4" s="11">
        <v>5.0079000000000002</v>
      </c>
      <c r="I4" s="11">
        <f>SUM(_xlfn.XLOOKUP(Table27[[#This Row],[Recipient number]],Extra_RecipientsWeight!A:A,Extra_RecipientsWeight!B:B)+H4)</f>
        <v>32.733899999999998</v>
      </c>
      <c r="J4" s="11">
        <v>32.290799999999997</v>
      </c>
      <c r="K4" s="39">
        <f>(Table27[[#This Row],[Incial Weight (g)]]-Table27[[#This Row],[Final Weight (g)]])/Table27[[#This Row],[Sample Weight (g)]]</f>
        <v>8.8480201281974702E-2</v>
      </c>
      <c r="L4" s="40">
        <f>1-K4</f>
        <v>0.91151979871802524</v>
      </c>
      <c r="M4" s="15"/>
      <c r="N4" s="15"/>
      <c r="O4" s="15"/>
      <c r="P4" s="15"/>
      <c r="Q4" s="157">
        <v>45981</v>
      </c>
      <c r="R4" s="11"/>
    </row>
    <row r="5" spans="1:18" ht="14.5" x14ac:dyDescent="0.35">
      <c r="A5" s="10">
        <v>4</v>
      </c>
      <c r="B5" s="124" t="s">
        <v>135</v>
      </c>
      <c r="C5" s="10" t="str">
        <f t="shared" si="0"/>
        <v>10% BSG+70ppmE_Moisture_A_1</v>
      </c>
      <c r="D5" s="10" t="s">
        <v>16</v>
      </c>
      <c r="E5" s="10" t="s">
        <v>9</v>
      </c>
      <c r="F5" s="10">
        <v>1</v>
      </c>
      <c r="G5" s="10">
        <v>352.1</v>
      </c>
      <c r="H5" s="11">
        <v>5.0049000000000001</v>
      </c>
      <c r="I5" s="11">
        <f>SUM(_xlfn.XLOOKUP(Table27[[#This Row],[Recipient number]],Extra_RecipientsWeight!A:A,Extra_RecipientsWeight!B:B)+H5)</f>
        <v>28.095099999999999</v>
      </c>
      <c r="J5" s="11">
        <v>27.650700000000001</v>
      </c>
      <c r="K5" s="39">
        <f>(Table27[[#This Row],[Incial Weight (g)]]-Table27[[#This Row],[Final Weight (g)]])/Table27[[#This Row],[Sample Weight (g)]]</f>
        <v>8.8792982876780377E-2</v>
      </c>
      <c r="L5" s="40">
        <f>1-K5</f>
        <v>0.91120701712321961</v>
      </c>
      <c r="M5" s="15"/>
      <c r="N5" s="15"/>
      <c r="O5" s="15"/>
      <c r="P5" s="15"/>
      <c r="Q5" s="157">
        <v>45981</v>
      </c>
      <c r="R5" s="11"/>
    </row>
    <row r="6" spans="1:18" ht="14.5" x14ac:dyDescent="0.35">
      <c r="A6" s="10">
        <v>5</v>
      </c>
      <c r="B6" s="124" t="s">
        <v>135</v>
      </c>
      <c r="C6" s="10" t="str">
        <f t="shared" si="0"/>
        <v>20% BSG+70ppmE_Moisture_A_1</v>
      </c>
      <c r="D6" s="10" t="s">
        <v>18</v>
      </c>
      <c r="E6" s="10" t="s">
        <v>9</v>
      </c>
      <c r="F6" s="10">
        <v>1</v>
      </c>
      <c r="G6" s="10">
        <v>440</v>
      </c>
      <c r="H6" s="11">
        <v>5.0099</v>
      </c>
      <c r="I6" s="11">
        <f>SUM(_xlfn.XLOOKUP(Table27[[#This Row],[Recipient number]],Extra_RecipientsWeight!A:A,Extra_RecipientsWeight!B:B)+H6)</f>
        <v>31.972200000000001</v>
      </c>
      <c r="J6" s="11">
        <v>31.532599999999999</v>
      </c>
      <c r="K6" s="39">
        <f>(Table27[[#This Row],[Incial Weight (g)]]-Table27[[#This Row],[Final Weight (g)]])/Table27[[#This Row],[Sample Weight (g)]]</f>
        <v>8.7746262400447556E-2</v>
      </c>
      <c r="L6" s="40">
        <f>1-K6</f>
        <v>0.91225373759955242</v>
      </c>
      <c r="M6" s="15"/>
      <c r="N6" s="15"/>
      <c r="O6" s="15"/>
      <c r="P6" s="15"/>
      <c r="Q6" s="157">
        <v>45981</v>
      </c>
      <c r="R6" s="11"/>
    </row>
    <row r="7" spans="1:18" ht="16.5" customHeight="1" x14ac:dyDescent="0.35">
      <c r="A7" s="10">
        <v>6</v>
      </c>
      <c r="B7" s="124" t="s">
        <v>135</v>
      </c>
      <c r="C7" s="10" t="str">
        <f t="shared" si="0"/>
        <v>Flour_Ash_A_1</v>
      </c>
      <c r="D7" s="10" t="s">
        <v>10</v>
      </c>
      <c r="E7" s="10" t="s">
        <v>17</v>
      </c>
      <c r="F7" s="10">
        <v>1</v>
      </c>
      <c r="G7" s="10">
        <v>14.1</v>
      </c>
      <c r="H7" s="11">
        <v>3.0053000000000001</v>
      </c>
      <c r="I7" s="11">
        <f>SUM(_xlfn.XLOOKUP(Table27[[#This Row],[Recipient number]],Extra_RecipientsWeight!A:A,Extra_RecipientsWeight!B:B)+H7)</f>
        <v>23.078800000000001</v>
      </c>
      <c r="J7" s="11">
        <v>20.089700000000001</v>
      </c>
      <c r="K7" s="15"/>
      <c r="L7" s="15"/>
      <c r="M7" s="36">
        <f>(Table27[[#This Row],[Sample Weight (g)]]-(Table27[[#This Row],[Incial Weight (g)]]-Table27[[#This Row],[Final Weight (g)]]))/Table27[[#This Row],[Sample Weight (g)]]</f>
        <v>5.39047682427696E-3</v>
      </c>
      <c r="N7" s="23" t="s">
        <v>47</v>
      </c>
      <c r="O7" s="35"/>
      <c r="P7" s="35"/>
      <c r="Q7" s="157">
        <v>45981</v>
      </c>
      <c r="R7" s="11" t="s">
        <v>111</v>
      </c>
    </row>
    <row r="8" spans="1:18" ht="14.5" x14ac:dyDescent="0.35">
      <c r="A8" s="10">
        <v>7</v>
      </c>
      <c r="B8" s="124" t="s">
        <v>135</v>
      </c>
      <c r="C8" s="10" t="str">
        <f t="shared" si="0"/>
        <v>Flour_Ash_A_2</v>
      </c>
      <c r="D8" s="10" t="s">
        <v>10</v>
      </c>
      <c r="E8" s="10" t="s">
        <v>17</v>
      </c>
      <c r="F8" s="10">
        <v>2</v>
      </c>
      <c r="G8" s="10">
        <v>15.1</v>
      </c>
      <c r="H8" s="11">
        <v>3.0057999999999998</v>
      </c>
      <c r="I8" s="11">
        <f>SUM(_xlfn.XLOOKUP(Table27[[#This Row],[Recipient number]],Extra_RecipientsWeight!A:A,Extra_RecipientsWeight!B:B)+H8)</f>
        <v>22.163900000000002</v>
      </c>
      <c r="J8" s="11">
        <v>19.1769</v>
      </c>
      <c r="K8" s="15"/>
      <c r="L8" s="15"/>
      <c r="M8" s="36">
        <f>(Table27[[#This Row],[Sample Weight (g)]]-(Table27[[#This Row],[Incial Weight (g)]]-Table27[[#This Row],[Final Weight (g)]]))/Table27[[#This Row],[Sample Weight (g)]]</f>
        <v>6.2545744893199584E-3</v>
      </c>
      <c r="N8" s="23" t="s">
        <v>47</v>
      </c>
      <c r="O8" s="35"/>
      <c r="P8" s="35"/>
      <c r="Q8" s="157">
        <v>45981</v>
      </c>
      <c r="R8" s="11" t="s">
        <v>111</v>
      </c>
    </row>
    <row r="9" spans="1:18" ht="14.5" x14ac:dyDescent="0.35">
      <c r="A9" s="10">
        <v>8</v>
      </c>
      <c r="B9" s="124" t="s">
        <v>135</v>
      </c>
      <c r="C9" s="10" t="str">
        <f t="shared" si="0"/>
        <v>10% BSG_Ash_A_1</v>
      </c>
      <c r="D9" s="43" t="s">
        <v>12</v>
      </c>
      <c r="E9" s="10" t="s">
        <v>17</v>
      </c>
      <c r="F9" s="10">
        <v>1</v>
      </c>
      <c r="G9" s="10">
        <v>4.0999999999999996</v>
      </c>
      <c r="H9" s="11">
        <v>3.0074999999999998</v>
      </c>
      <c r="I9" s="11">
        <f>SUM(_xlfn.XLOOKUP(Table27[[#This Row],[Recipient number]],Extra_RecipientsWeight!A:A,Extra_RecipientsWeight!B:B)+H9)</f>
        <v>21.463100000000001</v>
      </c>
      <c r="J9" s="11">
        <v>18.4815</v>
      </c>
      <c r="K9" s="15"/>
      <c r="L9" s="15"/>
      <c r="M9" s="151">
        <f>(Table27[[#This Row],[Sample Weight (g)]]-(Table27[[#This Row],[Incial Weight (g)]]-Table27[[#This Row],[Final Weight (g)]]))/Table27[[#This Row],[Sample Weight (g)]]</f>
        <v>8.6118038237737622E-3</v>
      </c>
      <c r="N9" s="23" t="s">
        <v>47</v>
      </c>
      <c r="O9" s="156"/>
      <c r="P9" s="35"/>
      <c r="Q9" s="157">
        <v>45981</v>
      </c>
      <c r="R9" s="11" t="s">
        <v>111</v>
      </c>
    </row>
    <row r="10" spans="1:18" ht="14.5" x14ac:dyDescent="0.35">
      <c r="A10" s="10">
        <v>9</v>
      </c>
      <c r="B10" s="124" t="s">
        <v>135</v>
      </c>
      <c r="C10" s="10" t="str">
        <f t="shared" si="0"/>
        <v>10% BSG_Ash_A_2</v>
      </c>
      <c r="D10" s="43" t="s">
        <v>12</v>
      </c>
      <c r="E10" s="10" t="s">
        <v>17</v>
      </c>
      <c r="F10" s="10">
        <v>2</v>
      </c>
      <c r="G10" s="10">
        <v>16</v>
      </c>
      <c r="H10" s="11">
        <v>3.0087999999999999</v>
      </c>
      <c r="I10" s="11">
        <f>SUM(_xlfn.XLOOKUP(Table27[[#This Row],[Recipient number]],Extra_RecipientsWeight!A:A,Extra_RecipientsWeight!B:B)+H10)</f>
        <v>22.067700000000002</v>
      </c>
      <c r="J10" s="11">
        <v>19.086099999999998</v>
      </c>
      <c r="K10" s="15"/>
      <c r="L10" s="15"/>
      <c r="M10" s="151">
        <f>(Table27[[#This Row],[Sample Weight (g)]]-(Table27[[#This Row],[Incial Weight (g)]]-Table27[[#This Row],[Final Weight (g)]]))/Table27[[#This Row],[Sample Weight (g)]]</f>
        <v>9.0401488965687702E-3</v>
      </c>
      <c r="N10" s="23" t="s">
        <v>47</v>
      </c>
      <c r="O10" s="156"/>
      <c r="P10" s="35"/>
      <c r="Q10" s="157">
        <v>45981</v>
      </c>
      <c r="R10" s="11" t="s">
        <v>111</v>
      </c>
    </row>
    <row r="11" spans="1:18" ht="14.5" x14ac:dyDescent="0.35">
      <c r="A11" s="10">
        <v>10</v>
      </c>
      <c r="B11" s="124" t="s">
        <v>135</v>
      </c>
      <c r="C11" s="10" t="str">
        <f t="shared" si="0"/>
        <v>20% BSG _Ash_A_1</v>
      </c>
      <c r="D11" s="10" t="s">
        <v>14</v>
      </c>
      <c r="E11" s="10" t="s">
        <v>17</v>
      </c>
      <c r="F11" s="10">
        <v>1</v>
      </c>
      <c r="G11" s="10">
        <v>23</v>
      </c>
      <c r="H11" s="11">
        <v>3.0085999999999999</v>
      </c>
      <c r="I11" s="11">
        <f>SUM(_xlfn.XLOOKUP(Table27[[#This Row],[Recipient number]],Extra_RecipientsWeight!A:A,Extra_RecipientsWeight!B:B)+H11)</f>
        <v>23.6828</v>
      </c>
      <c r="J11" s="11">
        <v>20.707100000000001</v>
      </c>
      <c r="K11" s="15"/>
      <c r="L11" s="15"/>
      <c r="M11" s="151">
        <f>(Table27[[#This Row],[Sample Weight (g)]]-(Table27[[#This Row],[Incial Weight (g)]]-Table27[[#This Row],[Final Weight (g)]]))/Table27[[#This Row],[Sample Weight (g)]]</f>
        <v>1.0935318752908379E-2</v>
      </c>
      <c r="N11" s="23" t="s">
        <v>47</v>
      </c>
      <c r="O11" s="35"/>
      <c r="P11" s="35"/>
      <c r="Q11" s="157">
        <v>45981</v>
      </c>
      <c r="R11" s="11" t="s">
        <v>111</v>
      </c>
    </row>
    <row r="12" spans="1:18" ht="14.5" x14ac:dyDescent="0.35">
      <c r="A12" s="10">
        <v>11</v>
      </c>
      <c r="B12" s="124" t="s">
        <v>135</v>
      </c>
      <c r="C12" s="10" t="str">
        <f t="shared" si="0"/>
        <v>20% BSG _Ash_A_2</v>
      </c>
      <c r="D12" s="10" t="s">
        <v>14</v>
      </c>
      <c r="E12" s="10" t="s">
        <v>17</v>
      </c>
      <c r="F12" s="10">
        <v>2</v>
      </c>
      <c r="G12" s="10">
        <v>22.1</v>
      </c>
      <c r="H12" s="11">
        <v>3.0028000000000001</v>
      </c>
      <c r="I12" s="11">
        <f>SUM(_xlfn.XLOOKUP(Table27[[#This Row],[Recipient number]],Extra_RecipientsWeight!A:A,Extra_RecipientsWeight!B:B)+H12)</f>
        <v>23.125499999999999</v>
      </c>
      <c r="J12" s="11">
        <v>20.153300000000002</v>
      </c>
      <c r="K12" s="15"/>
      <c r="L12" s="15"/>
      <c r="M12" s="36">
        <f>(Table27[[#This Row],[Sample Weight (g)]]-(Table27[[#This Row],[Incial Weight (g)]]-Table27[[#This Row],[Final Weight (g)]]))/Table27[[#This Row],[Sample Weight (g)]]</f>
        <v>1.0190488877049037E-2</v>
      </c>
      <c r="N12" s="23" t="s">
        <v>47</v>
      </c>
      <c r="O12" s="35"/>
      <c r="P12" s="35"/>
      <c r="Q12" s="157">
        <v>45981</v>
      </c>
      <c r="R12" s="11" t="s">
        <v>111</v>
      </c>
    </row>
    <row r="13" spans="1:18" ht="14.5" x14ac:dyDescent="0.35">
      <c r="A13" s="10">
        <v>12</v>
      </c>
      <c r="B13" s="124" t="s">
        <v>135</v>
      </c>
      <c r="C13" s="10" t="str">
        <f t="shared" si="0"/>
        <v>10% BSG+70ppmE_Ash_A_1</v>
      </c>
      <c r="D13" s="10" t="s">
        <v>16</v>
      </c>
      <c r="E13" s="10" t="s">
        <v>17</v>
      </c>
      <c r="F13" s="10">
        <v>1</v>
      </c>
      <c r="G13" s="10">
        <v>3</v>
      </c>
      <c r="H13" s="11">
        <v>3.0188999999999999</v>
      </c>
      <c r="I13" s="11">
        <f>SUM(_xlfn.XLOOKUP(Table27[[#This Row],[Recipient number]],Extra_RecipientsWeight!A:A,Extra_RecipientsWeight!B:B)+H13)</f>
        <v>21.6907</v>
      </c>
      <c r="J13" s="11">
        <v>18.6999</v>
      </c>
      <c r="K13" s="15"/>
      <c r="L13" s="15"/>
      <c r="M13" s="36">
        <f>(Table27[[#This Row],[Sample Weight (g)]]-(Table27[[#This Row],[Incial Weight (g)]]-Table27[[#This Row],[Final Weight (g)]]))/Table27[[#This Row],[Sample Weight (g)]]</f>
        <v>9.3080261022225955E-3</v>
      </c>
      <c r="N13" s="23" t="s">
        <v>47</v>
      </c>
      <c r="O13" s="35"/>
      <c r="P13" s="35"/>
      <c r="Q13" s="157">
        <v>45981</v>
      </c>
      <c r="R13" s="11" t="s">
        <v>111</v>
      </c>
    </row>
    <row r="14" spans="1:18" ht="14.5" x14ac:dyDescent="0.35">
      <c r="A14" s="10">
        <v>13</v>
      </c>
      <c r="B14" s="124" t="s">
        <v>135</v>
      </c>
      <c r="C14" s="10" t="str">
        <f t="shared" si="0"/>
        <v>10% BSG+70ppmE_Ash_A_2</v>
      </c>
      <c r="D14" s="10" t="s">
        <v>16</v>
      </c>
      <c r="E14" s="10" t="s">
        <v>17</v>
      </c>
      <c r="F14" s="10">
        <v>2</v>
      </c>
      <c r="G14" s="10">
        <v>2</v>
      </c>
      <c r="H14" s="11">
        <v>3.0005000000000002</v>
      </c>
      <c r="I14" s="11">
        <f>SUM(_xlfn.XLOOKUP(Table27[[#This Row],[Recipient number]],Extra_RecipientsWeight!A:A,Extra_RecipientsWeight!B:B)+H14)</f>
        <v>19.866399999999999</v>
      </c>
      <c r="J14" s="11">
        <v>16.896999999999998</v>
      </c>
      <c r="K14" s="15"/>
      <c r="L14" s="15"/>
      <c r="M14" s="36">
        <f>(Table27[[#This Row],[Sample Weight (g)]]-(Table27[[#This Row],[Incial Weight (g)]]-Table27[[#This Row],[Final Weight (g)]]))/Table27[[#This Row],[Sample Weight (g)]]</f>
        <v>1.0364939176803834E-2</v>
      </c>
      <c r="N14" s="23" t="s">
        <v>47</v>
      </c>
      <c r="O14" s="35"/>
      <c r="P14" s="35"/>
      <c r="Q14" s="157">
        <v>45981</v>
      </c>
      <c r="R14" s="11" t="s">
        <v>111</v>
      </c>
    </row>
    <row r="15" spans="1:18" ht="14.5" x14ac:dyDescent="0.35">
      <c r="A15" s="10">
        <v>14</v>
      </c>
      <c r="B15" s="124" t="s">
        <v>135</v>
      </c>
      <c r="C15" s="10" t="str">
        <f t="shared" si="0"/>
        <v>20% BSG+70ppmE_Ash_A_1</v>
      </c>
      <c r="D15" s="10" t="s">
        <v>18</v>
      </c>
      <c r="E15" s="10" t="s">
        <v>17</v>
      </c>
      <c r="F15" s="10">
        <v>1</v>
      </c>
      <c r="G15" s="10">
        <v>18.100000000000001</v>
      </c>
      <c r="H15" s="11">
        <v>3.0041000000000002</v>
      </c>
      <c r="I15" s="10">
        <f>SUM(_xlfn.XLOOKUP(Table27[[#This Row],[Recipient number]],Extra_RecipientsWeight!A:A,Extra_RecipientsWeight!B:B)+H15)</f>
        <v>24.122199999999999</v>
      </c>
      <c r="J15" s="11">
        <v>21.159500000000001</v>
      </c>
      <c r="K15" s="12"/>
      <c r="L15" s="44"/>
      <c r="M15" s="36">
        <f>(Table27[[#This Row],[Sample Weight (g)]]-(Table27[[#This Row],[Incial Weight (g)]]-Table27[[#This Row],[Final Weight (g)]]))/Table27[[#This Row],[Sample Weight (g)]]</f>
        <v>1.378116574015582E-2</v>
      </c>
      <c r="N15" s="45"/>
      <c r="O15" s="46"/>
      <c r="P15" s="46"/>
      <c r="Q15" s="157">
        <v>45981</v>
      </c>
      <c r="R15" s="11" t="s">
        <v>111</v>
      </c>
    </row>
    <row r="16" spans="1:18" ht="14.5" x14ac:dyDescent="0.35">
      <c r="A16" s="10">
        <v>15</v>
      </c>
      <c r="B16" s="124" t="s">
        <v>135</v>
      </c>
      <c r="C16" s="10" t="str">
        <f t="shared" si="0"/>
        <v>20% BSG+70ppmE_Ash_A_2</v>
      </c>
      <c r="D16" s="10" t="s">
        <v>18</v>
      </c>
      <c r="E16" s="10" t="s">
        <v>17</v>
      </c>
      <c r="F16" s="10">
        <v>2</v>
      </c>
      <c r="G16" s="10">
        <v>24</v>
      </c>
      <c r="H16" s="11">
        <v>3.0148000000000001</v>
      </c>
      <c r="I16" s="10">
        <f>SUM(_xlfn.XLOOKUP(Table27[[#This Row],[Recipient number]],Extra_RecipientsWeight!A:A,Extra_RecipientsWeight!B:B)+H16)</f>
        <v>23.526800000000001</v>
      </c>
      <c r="J16" s="11">
        <v>20.558900000000001</v>
      </c>
      <c r="K16" s="12"/>
      <c r="L16" s="44"/>
      <c r="M16" s="36">
        <f>(Table27[[#This Row],[Sample Weight (g)]]-(Table27[[#This Row],[Incial Weight (g)]]-Table27[[#This Row],[Final Weight (g)]]))/Table27[[#This Row],[Sample Weight (g)]]</f>
        <v>1.5556587501658465E-2</v>
      </c>
      <c r="N16" s="45"/>
      <c r="O16" s="46"/>
      <c r="P16" s="46"/>
      <c r="Q16" s="157">
        <v>45981</v>
      </c>
      <c r="R16" s="11" t="s">
        <v>111</v>
      </c>
    </row>
    <row r="17" spans="1:18" ht="14.5" x14ac:dyDescent="0.35">
      <c r="A17" s="10">
        <v>16</v>
      </c>
      <c r="B17" s="124" t="s">
        <v>135</v>
      </c>
      <c r="C17" s="10" t="str">
        <f t="shared" si="0"/>
        <v>Flour_Protein_A_1</v>
      </c>
      <c r="D17" s="10" t="s">
        <v>10</v>
      </c>
      <c r="E17" s="10" t="s">
        <v>19</v>
      </c>
      <c r="F17" s="10">
        <v>1</v>
      </c>
      <c r="G17" s="15"/>
      <c r="H17" s="47">
        <v>1.0026999999999999</v>
      </c>
      <c r="I17" s="47">
        <f>Table27[[#This Row],[Sample Weight (g)]]</f>
        <v>1.0026999999999999</v>
      </c>
      <c r="J17" s="15"/>
      <c r="K17" s="15"/>
      <c r="L17" s="42"/>
      <c r="M17" s="23" t="s">
        <v>47</v>
      </c>
      <c r="N17" s="41">
        <v>13.8</v>
      </c>
      <c r="O17" s="40">
        <v>0.1212</v>
      </c>
      <c r="P17" s="46"/>
      <c r="Q17" s="157">
        <v>45981</v>
      </c>
      <c r="R17" s="11"/>
    </row>
    <row r="18" spans="1:18" ht="14.5" x14ac:dyDescent="0.35">
      <c r="A18" s="10">
        <v>17</v>
      </c>
      <c r="B18" s="124" t="s">
        <v>135</v>
      </c>
      <c r="C18" s="10" t="str">
        <f t="shared" si="0"/>
        <v>Flour_Protein_A_2</v>
      </c>
      <c r="D18" s="10" t="s">
        <v>10</v>
      </c>
      <c r="E18" s="10" t="s">
        <v>19</v>
      </c>
      <c r="F18" s="10">
        <v>2</v>
      </c>
      <c r="G18" s="15"/>
      <c r="H18" s="47">
        <v>1.0024</v>
      </c>
      <c r="I18" s="47">
        <f>Table27[[#This Row],[Sample Weight (g)]]</f>
        <v>1.0024</v>
      </c>
      <c r="J18" s="15"/>
      <c r="K18" s="15"/>
      <c r="L18" s="42"/>
      <c r="M18" s="23" t="s">
        <v>47</v>
      </c>
      <c r="N18" s="41">
        <v>13.7</v>
      </c>
      <c r="O18" s="40">
        <v>0.12039999999999999</v>
      </c>
      <c r="P18" s="46"/>
      <c r="Q18" s="157">
        <v>45981</v>
      </c>
      <c r="R18" s="11"/>
    </row>
    <row r="19" spans="1:18" ht="14.5" x14ac:dyDescent="0.35">
      <c r="A19" s="10">
        <v>18</v>
      </c>
      <c r="B19" s="124" t="s">
        <v>135</v>
      </c>
      <c r="C19" s="10" t="str">
        <f t="shared" si="0"/>
        <v>10% BSG_Protein_A_1</v>
      </c>
      <c r="D19" s="10" t="s">
        <v>12</v>
      </c>
      <c r="E19" s="10" t="s">
        <v>19</v>
      </c>
      <c r="F19" s="10">
        <v>1</v>
      </c>
      <c r="G19" s="15"/>
      <c r="H19" s="47">
        <v>1.0114000000000001</v>
      </c>
      <c r="I19" s="47">
        <f>Table27[[#This Row],[Sample Weight (g)]]</f>
        <v>1.0114000000000001</v>
      </c>
      <c r="J19" s="15"/>
      <c r="K19" s="15"/>
      <c r="L19" s="42"/>
      <c r="M19" s="239" t="s">
        <v>47</v>
      </c>
      <c r="N19" s="41">
        <v>15</v>
      </c>
      <c r="O19" s="40">
        <v>0.13009999999999999</v>
      </c>
      <c r="P19" s="46"/>
      <c r="Q19" s="157">
        <v>45981</v>
      </c>
      <c r="R19" s="11"/>
    </row>
    <row r="20" spans="1:18" ht="14.5" x14ac:dyDescent="0.35">
      <c r="A20" s="10">
        <v>19</v>
      </c>
      <c r="B20" s="124" t="s">
        <v>135</v>
      </c>
      <c r="C20" s="10" t="str">
        <f t="shared" si="0"/>
        <v>10% BSG_Protein_A_2</v>
      </c>
      <c r="D20" s="10" t="s">
        <v>12</v>
      </c>
      <c r="E20" s="10" t="s">
        <v>19</v>
      </c>
      <c r="F20" s="10">
        <v>2</v>
      </c>
      <c r="G20" s="15"/>
      <c r="H20" s="47">
        <v>1.0062</v>
      </c>
      <c r="I20" s="47">
        <f>Table27[[#This Row],[Sample Weight (g)]]</f>
        <v>1.0062</v>
      </c>
      <c r="J20" s="15"/>
      <c r="K20" s="15"/>
      <c r="L20" s="42"/>
      <c r="M20" s="23" t="s">
        <v>47</v>
      </c>
      <c r="N20" s="41">
        <v>15.8</v>
      </c>
      <c r="O20" s="40">
        <v>0.13780000000000001</v>
      </c>
      <c r="P20" s="46"/>
      <c r="Q20" s="157">
        <v>45981</v>
      </c>
      <c r="R20" s="11"/>
    </row>
    <row r="21" spans="1:18" ht="14.5" x14ac:dyDescent="0.35">
      <c r="A21" s="10">
        <v>20</v>
      </c>
      <c r="B21" s="124" t="s">
        <v>135</v>
      </c>
      <c r="C21" s="10" t="str">
        <f t="shared" si="0"/>
        <v>20% BSG_Protein_A_1</v>
      </c>
      <c r="D21" s="10" t="s">
        <v>25</v>
      </c>
      <c r="E21" s="10" t="s">
        <v>19</v>
      </c>
      <c r="F21" s="10">
        <v>1</v>
      </c>
      <c r="G21" s="15"/>
      <c r="H21" s="47">
        <v>1.0123</v>
      </c>
      <c r="I21" s="47">
        <f>Table27[[#This Row],[Sample Weight (g)]]</f>
        <v>1.0123</v>
      </c>
      <c r="J21" s="15"/>
      <c r="K21" s="15"/>
      <c r="L21" s="42"/>
      <c r="M21" s="23" t="s">
        <v>47</v>
      </c>
      <c r="N21" s="41">
        <v>16</v>
      </c>
      <c r="O21" s="40">
        <v>0.13850000000000001</v>
      </c>
      <c r="P21" s="46"/>
      <c r="Q21" s="157">
        <v>45981</v>
      </c>
      <c r="R21" s="11"/>
    </row>
    <row r="22" spans="1:18" ht="14.5" x14ac:dyDescent="0.35">
      <c r="A22" s="10">
        <v>21</v>
      </c>
      <c r="B22" s="124" t="s">
        <v>135</v>
      </c>
      <c r="C22" s="10" t="str">
        <f t="shared" si="0"/>
        <v>20% BSG_Protein_A_2</v>
      </c>
      <c r="D22" s="10" t="s">
        <v>25</v>
      </c>
      <c r="E22" s="10" t="s">
        <v>19</v>
      </c>
      <c r="F22" s="10">
        <v>2</v>
      </c>
      <c r="G22" s="15"/>
      <c r="H22" s="47">
        <v>1.0037</v>
      </c>
      <c r="I22" s="47">
        <f>Table27[[#This Row],[Sample Weight (g)]]</f>
        <v>1.0037</v>
      </c>
      <c r="J22" s="15"/>
      <c r="K22" s="15"/>
      <c r="L22" s="42"/>
      <c r="M22" s="35" t="s">
        <v>47</v>
      </c>
      <c r="N22" s="41">
        <v>15.6</v>
      </c>
      <c r="O22" s="40">
        <v>0.1361</v>
      </c>
      <c r="P22" s="46"/>
      <c r="Q22" s="157">
        <v>45981</v>
      </c>
      <c r="R22" s="11"/>
    </row>
    <row r="23" spans="1:18" ht="14.5" x14ac:dyDescent="0.35">
      <c r="A23" s="10">
        <v>22</v>
      </c>
      <c r="B23" s="124" t="s">
        <v>135</v>
      </c>
      <c r="C23" s="10" t="str">
        <f t="shared" si="0"/>
        <v>10% BSG+70ppmE_Protein_A_1</v>
      </c>
      <c r="D23" s="10" t="s">
        <v>16</v>
      </c>
      <c r="E23" s="10" t="s">
        <v>19</v>
      </c>
      <c r="F23" s="10">
        <v>1</v>
      </c>
      <c r="G23" s="15"/>
      <c r="H23" s="47">
        <v>1.0027999999999999</v>
      </c>
      <c r="I23" s="47">
        <f>Table27[[#This Row],[Sample Weight (g)]]</f>
        <v>1.0027999999999999</v>
      </c>
      <c r="J23" s="15"/>
      <c r="K23" s="15"/>
      <c r="L23" s="42"/>
      <c r="M23" s="35" t="s">
        <v>47</v>
      </c>
      <c r="N23" s="41">
        <v>14.5</v>
      </c>
      <c r="O23" s="40">
        <v>0.12659999999999999</v>
      </c>
      <c r="P23" s="46"/>
      <c r="Q23" s="157">
        <v>45981</v>
      </c>
      <c r="R23" s="11"/>
    </row>
    <row r="24" spans="1:18" ht="14.5" x14ac:dyDescent="0.35">
      <c r="A24" s="10">
        <v>23</v>
      </c>
      <c r="B24" s="124" t="s">
        <v>135</v>
      </c>
      <c r="C24" s="10" t="str">
        <f t="shared" si="0"/>
        <v>10% BSG+70ppmE_Protein_A_2</v>
      </c>
      <c r="D24" s="10" t="s">
        <v>16</v>
      </c>
      <c r="E24" s="10" t="s">
        <v>19</v>
      </c>
      <c r="F24" s="10">
        <v>2</v>
      </c>
      <c r="G24" s="15"/>
      <c r="H24" s="47">
        <v>1.0077</v>
      </c>
      <c r="I24" s="47">
        <f>Table27[[#This Row],[Sample Weight (g)]]</f>
        <v>1.0077</v>
      </c>
      <c r="J24" s="15"/>
      <c r="K24" s="15"/>
      <c r="L24" s="42"/>
      <c r="M24" s="35" t="s">
        <v>47</v>
      </c>
      <c r="N24" s="41">
        <v>14.6</v>
      </c>
      <c r="O24" s="40">
        <v>0.127</v>
      </c>
      <c r="P24" s="46"/>
      <c r="Q24" s="157">
        <v>45981</v>
      </c>
      <c r="R24" s="11"/>
    </row>
    <row r="25" spans="1:18" ht="14.5" x14ac:dyDescent="0.35">
      <c r="A25" s="10">
        <v>24</v>
      </c>
      <c r="B25" s="124" t="s">
        <v>135</v>
      </c>
      <c r="C25" s="10" t="str">
        <f t="shared" si="0"/>
        <v>20% BSG+70ppmE_Protein_A_1</v>
      </c>
      <c r="D25" s="10" t="s">
        <v>18</v>
      </c>
      <c r="E25" s="10" t="s">
        <v>19</v>
      </c>
      <c r="F25" s="10">
        <v>1</v>
      </c>
      <c r="G25" s="15"/>
      <c r="H25" s="47">
        <v>1.0048999999999999</v>
      </c>
      <c r="I25" s="47">
        <f>Table27[[#This Row],[Sample Weight (g)]]</f>
        <v>1.0048999999999999</v>
      </c>
      <c r="J25" s="15"/>
      <c r="K25" s="15"/>
      <c r="L25" s="15"/>
      <c r="M25" s="15"/>
      <c r="N25" s="41">
        <v>16.3</v>
      </c>
      <c r="O25" s="40">
        <v>0.14199999999999999</v>
      </c>
      <c r="P25" s="46"/>
      <c r="Q25" s="157">
        <v>45981</v>
      </c>
      <c r="R25" s="11"/>
    </row>
    <row r="26" spans="1:18" ht="14.5" x14ac:dyDescent="0.35">
      <c r="A26" s="10">
        <v>25</v>
      </c>
      <c r="B26" s="124" t="s">
        <v>135</v>
      </c>
      <c r="C26" s="10" t="str">
        <f t="shared" si="0"/>
        <v>20% BSG+70ppmE_Protein_A_2</v>
      </c>
      <c r="D26" s="10" t="s">
        <v>18</v>
      </c>
      <c r="E26" s="10" t="s">
        <v>19</v>
      </c>
      <c r="F26" s="10">
        <v>2</v>
      </c>
      <c r="G26" s="15"/>
      <c r="H26" s="47">
        <v>1.0072000000000001</v>
      </c>
      <c r="I26" s="47">
        <f>Table27[[#This Row],[Sample Weight (g)]]</f>
        <v>1.0072000000000001</v>
      </c>
      <c r="J26" s="15"/>
      <c r="K26" s="15"/>
      <c r="L26" s="15"/>
      <c r="M26" s="15"/>
      <c r="N26" s="41">
        <v>16.100000000000001</v>
      </c>
      <c r="O26" s="40">
        <v>0.1399</v>
      </c>
      <c r="P26" s="46"/>
      <c r="Q26" s="157">
        <v>45981</v>
      </c>
      <c r="R26" s="11"/>
    </row>
    <row r="27" spans="1:18" ht="15" customHeight="1" x14ac:dyDescent="0.35">
      <c r="A27" s="10">
        <v>26</v>
      </c>
      <c r="B27" s="124" t="s">
        <v>135</v>
      </c>
      <c r="C27" s="10" t="str">
        <f t="shared" si="0"/>
        <v>Flour_Fibre_A_1</v>
      </c>
      <c r="D27" s="10" t="s">
        <v>10</v>
      </c>
      <c r="E27" s="10" t="s">
        <v>28</v>
      </c>
      <c r="F27" s="10">
        <v>1</v>
      </c>
      <c r="G27" s="15"/>
      <c r="H27" s="80"/>
      <c r="I27" s="80">
        <f>SUM(_xlfn.XLOOKUP(Table27[[#This Row],[Recipient number]],Extra_RecipientsWeight!A:A,Extra_RecipientsWeight!B:B)+H27)</f>
        <v>0</v>
      </c>
      <c r="J27" s="15"/>
      <c r="K27" s="15"/>
      <c r="L27" s="15"/>
      <c r="M27" s="15"/>
      <c r="N27" s="42"/>
      <c r="O27" s="42"/>
      <c r="P27" s="40">
        <v>0</v>
      </c>
      <c r="Q27" s="157">
        <v>46063</v>
      </c>
      <c r="R27" s="11" t="s">
        <v>112</v>
      </c>
    </row>
    <row r="28" spans="1:18" ht="15" customHeight="1" x14ac:dyDescent="0.35">
      <c r="A28" s="10">
        <v>27</v>
      </c>
      <c r="B28" s="124" t="s">
        <v>135</v>
      </c>
      <c r="C28" s="10" t="str">
        <f t="shared" si="0"/>
        <v>Flour_Fibre_A_2</v>
      </c>
      <c r="D28" s="10" t="s">
        <v>10</v>
      </c>
      <c r="E28" s="10" t="s">
        <v>28</v>
      </c>
      <c r="F28" s="10">
        <v>2</v>
      </c>
      <c r="G28" s="15"/>
      <c r="H28" s="80"/>
      <c r="I28" s="80">
        <f>SUM(_xlfn.XLOOKUP(Table27[[#This Row],[Recipient number]],Extra_RecipientsWeight!A:A,Extra_RecipientsWeight!B:B)+H28)</f>
        <v>0</v>
      </c>
      <c r="J28" s="15"/>
      <c r="K28" s="15"/>
      <c r="L28" s="15"/>
      <c r="M28" s="15"/>
      <c r="N28" s="42"/>
      <c r="O28" s="42"/>
      <c r="P28" s="40">
        <v>0</v>
      </c>
      <c r="Q28" s="157">
        <v>46063</v>
      </c>
      <c r="R28" s="11" t="s">
        <v>112</v>
      </c>
    </row>
    <row r="29" spans="1:18" ht="15" customHeight="1" x14ac:dyDescent="0.35">
      <c r="A29" s="10">
        <v>28</v>
      </c>
      <c r="B29" s="124" t="s">
        <v>135</v>
      </c>
      <c r="C29" s="10" t="str">
        <f t="shared" si="0"/>
        <v>10% BSG_Fibre_A_1</v>
      </c>
      <c r="D29" s="10" t="s">
        <v>12</v>
      </c>
      <c r="E29" s="10" t="s">
        <v>28</v>
      </c>
      <c r="F29" s="10">
        <v>1</v>
      </c>
      <c r="G29" s="15"/>
      <c r="H29" s="80"/>
      <c r="I29" s="80">
        <f>SUM(_xlfn.XLOOKUP(Table27[[#This Row],[Recipient number]],Extra_RecipientsWeight!A:A,Extra_RecipientsWeight!B:B)+H29)</f>
        <v>0</v>
      </c>
      <c r="J29" s="15"/>
      <c r="K29" s="15"/>
      <c r="L29" s="15"/>
      <c r="M29" s="15"/>
      <c r="N29" s="42"/>
      <c r="O29" s="42"/>
      <c r="P29" s="40">
        <v>1.14E-2</v>
      </c>
      <c r="Q29" s="157">
        <v>46063</v>
      </c>
      <c r="R29" s="11" t="s">
        <v>112</v>
      </c>
    </row>
    <row r="30" spans="1:18" ht="15" customHeight="1" x14ac:dyDescent="0.35">
      <c r="A30" s="10">
        <v>29</v>
      </c>
      <c r="B30" s="124" t="s">
        <v>135</v>
      </c>
      <c r="C30" s="10" t="str">
        <f t="shared" si="0"/>
        <v>10% BSG_Fibre_A_2</v>
      </c>
      <c r="D30" s="10" t="s">
        <v>12</v>
      </c>
      <c r="E30" s="10" t="s">
        <v>28</v>
      </c>
      <c r="F30" s="10">
        <v>2</v>
      </c>
      <c r="G30" s="15"/>
      <c r="H30" s="80"/>
      <c r="I30" s="80">
        <f>SUM(_xlfn.XLOOKUP(Table27[[#This Row],[Recipient number]],Extra_RecipientsWeight!A:A,Extra_RecipientsWeight!B:B)+H30)</f>
        <v>0</v>
      </c>
      <c r="J30" s="15"/>
      <c r="K30" s="15"/>
      <c r="L30" s="15"/>
      <c r="M30" s="15"/>
      <c r="N30" s="42"/>
      <c r="O30" s="42"/>
      <c r="P30" s="40">
        <v>6.8999999999999999E-3</v>
      </c>
      <c r="Q30" s="157">
        <v>46063</v>
      </c>
      <c r="R30" s="11" t="s">
        <v>112</v>
      </c>
    </row>
    <row r="31" spans="1:18" ht="15" customHeight="1" x14ac:dyDescent="0.35">
      <c r="A31" s="10">
        <v>30</v>
      </c>
      <c r="B31" s="124" t="s">
        <v>135</v>
      </c>
      <c r="C31" s="10" t="str">
        <f t="shared" si="0"/>
        <v>20% BSG_Fibre_A_1</v>
      </c>
      <c r="D31" s="10" t="s">
        <v>25</v>
      </c>
      <c r="E31" s="10" t="s">
        <v>28</v>
      </c>
      <c r="F31" s="10">
        <v>1</v>
      </c>
      <c r="G31" s="15"/>
      <c r="H31" s="80"/>
      <c r="I31" s="80">
        <f>SUM(_xlfn.XLOOKUP(Table27[[#This Row],[Recipient number]],Extra_RecipientsWeight!A:A,Extra_RecipientsWeight!B:B)+H31)</f>
        <v>0</v>
      </c>
      <c r="J31" s="15"/>
      <c r="K31" s="15"/>
      <c r="L31" s="15"/>
      <c r="M31" s="15"/>
      <c r="N31" s="42"/>
      <c r="O31" s="42"/>
      <c r="P31" s="40">
        <v>3.2000000000000001E-2</v>
      </c>
      <c r="Q31" s="157">
        <v>46063</v>
      </c>
      <c r="R31" s="11" t="s">
        <v>112</v>
      </c>
    </row>
    <row r="32" spans="1:18" ht="15" customHeight="1" x14ac:dyDescent="0.35">
      <c r="A32" s="10">
        <v>31</v>
      </c>
      <c r="B32" s="124" t="s">
        <v>135</v>
      </c>
      <c r="C32" s="10" t="str">
        <f t="shared" si="0"/>
        <v>20% BSG_Fibre_A_2</v>
      </c>
      <c r="D32" s="10" t="s">
        <v>25</v>
      </c>
      <c r="E32" s="10" t="s">
        <v>28</v>
      </c>
      <c r="F32" s="10">
        <v>2</v>
      </c>
      <c r="G32" s="15"/>
      <c r="H32" s="80"/>
      <c r="I32" s="80">
        <f>SUM(_xlfn.XLOOKUP(Table27[[#This Row],[Recipient number]],Extra_RecipientsWeight!A:A,Extra_RecipientsWeight!B:B)+H32)</f>
        <v>0</v>
      </c>
      <c r="J32" s="15"/>
      <c r="K32" s="15"/>
      <c r="L32" s="15"/>
      <c r="M32" s="15"/>
      <c r="N32" s="42"/>
      <c r="O32" s="42"/>
      <c r="P32" s="40">
        <v>2.8299999999999999E-2</v>
      </c>
      <c r="Q32" s="157">
        <v>46063</v>
      </c>
      <c r="R32" s="11" t="s">
        <v>112</v>
      </c>
    </row>
    <row r="33" spans="1:18" ht="15" customHeight="1" x14ac:dyDescent="0.35">
      <c r="A33" s="10">
        <v>32</v>
      </c>
      <c r="B33" s="124" t="s">
        <v>135</v>
      </c>
      <c r="C33" s="10" t="str">
        <f t="shared" si="0"/>
        <v>10% BSG+70ppmE_Fibre_A_1</v>
      </c>
      <c r="D33" s="10" t="s">
        <v>16</v>
      </c>
      <c r="E33" s="10" t="s">
        <v>28</v>
      </c>
      <c r="F33" s="10">
        <v>1</v>
      </c>
      <c r="G33" s="15"/>
      <c r="H33" s="80"/>
      <c r="I33" s="80">
        <f>SUM(_xlfn.XLOOKUP(Table27[[#This Row],[Recipient number]],Extra_RecipientsWeight!A:A,Extra_RecipientsWeight!B:B)+H33)</f>
        <v>0</v>
      </c>
      <c r="J33" s="15"/>
      <c r="K33" s="15"/>
      <c r="L33" s="15"/>
      <c r="M33" s="15"/>
      <c r="N33" s="42"/>
      <c r="O33" s="42"/>
      <c r="P33" s="40">
        <v>1.29E-2</v>
      </c>
      <c r="Q33" s="157">
        <v>46063</v>
      </c>
      <c r="R33" s="11" t="s">
        <v>112</v>
      </c>
    </row>
    <row r="34" spans="1:18" ht="15" customHeight="1" x14ac:dyDescent="0.35">
      <c r="A34" s="10">
        <v>33</v>
      </c>
      <c r="B34" s="124" t="s">
        <v>135</v>
      </c>
      <c r="C34" s="10" t="str">
        <f t="shared" ref="C34:C65" si="1">_xlfn.CONCAT(D34,"_",E34,"_",B34,"_",F34)</f>
        <v>10% BSG+70ppmE_Fibre_A_2</v>
      </c>
      <c r="D34" s="10" t="s">
        <v>16</v>
      </c>
      <c r="E34" s="10" t="s">
        <v>28</v>
      </c>
      <c r="F34" s="10">
        <v>2</v>
      </c>
      <c r="G34" s="15"/>
      <c r="H34" s="80"/>
      <c r="I34" s="80">
        <f>SUM(_xlfn.XLOOKUP(Table27[[#This Row],[Recipient number]],Extra_RecipientsWeight!A:A,Extra_RecipientsWeight!B:B)+H34)</f>
        <v>0</v>
      </c>
      <c r="J34" s="15"/>
      <c r="K34" s="15"/>
      <c r="L34" s="15"/>
      <c r="M34" s="15"/>
      <c r="N34" s="42"/>
      <c r="O34" s="42"/>
      <c r="P34" s="40">
        <v>1.3899999999999999E-2</v>
      </c>
      <c r="Q34" s="157">
        <v>46063</v>
      </c>
      <c r="R34" s="11" t="s">
        <v>112</v>
      </c>
    </row>
    <row r="35" spans="1:18" ht="15" customHeight="1" x14ac:dyDescent="0.35">
      <c r="A35" s="10">
        <v>34</v>
      </c>
      <c r="B35" s="124" t="s">
        <v>135</v>
      </c>
      <c r="C35" s="10" t="str">
        <f t="shared" si="1"/>
        <v>20% BSG+70ppmE_Fibre_A_1</v>
      </c>
      <c r="D35" s="10" t="s">
        <v>18</v>
      </c>
      <c r="E35" s="10" t="s">
        <v>28</v>
      </c>
      <c r="F35" s="10">
        <v>1</v>
      </c>
      <c r="G35" s="15"/>
      <c r="H35" s="80"/>
      <c r="I35" s="80">
        <f>SUM(_xlfn.XLOOKUP(Table27[[#This Row],[Recipient number]],Extra_RecipientsWeight!A:A,Extra_RecipientsWeight!B:B)+H35)</f>
        <v>0</v>
      </c>
      <c r="J35" s="15"/>
      <c r="K35" s="15"/>
      <c r="L35" s="15"/>
      <c r="M35" s="15"/>
      <c r="N35" s="42"/>
      <c r="O35" s="42"/>
      <c r="P35" s="40">
        <v>2.3599999999999999E-2</v>
      </c>
      <c r="Q35" s="157">
        <v>46063</v>
      </c>
      <c r="R35" s="11" t="s">
        <v>112</v>
      </c>
    </row>
    <row r="36" spans="1:18" ht="15" customHeight="1" x14ac:dyDescent="0.35">
      <c r="A36" s="10">
        <v>35</v>
      </c>
      <c r="B36" s="124" t="s">
        <v>135</v>
      </c>
      <c r="C36" s="10" t="str">
        <f t="shared" si="1"/>
        <v>20% BSG+70ppmE_Fibre_A_2</v>
      </c>
      <c r="D36" s="10" t="s">
        <v>18</v>
      </c>
      <c r="E36" s="10" t="s">
        <v>28</v>
      </c>
      <c r="F36" s="10">
        <v>2</v>
      </c>
      <c r="G36" s="15"/>
      <c r="H36" s="80"/>
      <c r="I36" s="80">
        <f>SUM(_xlfn.XLOOKUP(Table27[[#This Row],[Recipient number]],Extra_RecipientsWeight!A:A,Extra_RecipientsWeight!B:B)+H36)</f>
        <v>0</v>
      </c>
      <c r="J36" s="15"/>
      <c r="K36" s="15"/>
      <c r="L36" s="15"/>
      <c r="M36" s="15"/>
      <c r="N36" s="42"/>
      <c r="O36" s="42"/>
      <c r="P36" s="40">
        <v>2.9000000000000001E-2</v>
      </c>
      <c r="Q36" s="157">
        <v>46063</v>
      </c>
      <c r="R36" s="11" t="s">
        <v>112</v>
      </c>
    </row>
    <row r="37" spans="1:18" ht="15" customHeight="1" x14ac:dyDescent="0.35">
      <c r="A37" s="10">
        <v>36</v>
      </c>
      <c r="B37" s="124" t="s">
        <v>136</v>
      </c>
      <c r="C37" s="10" t="str">
        <f t="shared" si="1"/>
        <v>Flour_Ash_B_1</v>
      </c>
      <c r="D37" s="10" t="s">
        <v>10</v>
      </c>
      <c r="E37" s="10" t="s">
        <v>17</v>
      </c>
      <c r="F37" s="10">
        <v>1</v>
      </c>
      <c r="G37" s="80"/>
      <c r="H37" s="80"/>
      <c r="I37" s="80">
        <f>SUM(_xlfn.XLOOKUP(Table27[[#This Row],[Recipient number]],Extra_RecipientsWeight!A:A,Extra_RecipientsWeight!B:B)+H37)</f>
        <v>0</v>
      </c>
      <c r="J37" s="80"/>
      <c r="K37" s="12"/>
      <c r="L37" s="44"/>
      <c r="M37" s="154">
        <v>9.1000000000000004E-3</v>
      </c>
      <c r="N37" s="45"/>
      <c r="O37" s="42"/>
      <c r="P37" s="42"/>
      <c r="Q37" s="157">
        <v>46086</v>
      </c>
      <c r="R37" s="11" t="s">
        <v>138</v>
      </c>
    </row>
    <row r="38" spans="1:18" ht="15" customHeight="1" x14ac:dyDescent="0.35">
      <c r="A38" s="10">
        <v>37</v>
      </c>
      <c r="B38" s="124" t="s">
        <v>136</v>
      </c>
      <c r="C38" s="10" t="str">
        <f t="shared" si="1"/>
        <v>Flour_Ash_B_2</v>
      </c>
      <c r="D38" s="10" t="s">
        <v>10</v>
      </c>
      <c r="E38" s="10" t="s">
        <v>17</v>
      </c>
      <c r="F38" s="10">
        <v>2</v>
      </c>
      <c r="G38" s="80"/>
      <c r="H38" s="80"/>
      <c r="I38" s="80">
        <f>SUM(_xlfn.XLOOKUP(Table27[[#This Row],[Recipient number]],Extra_RecipientsWeight!A:A,Extra_RecipientsWeight!B:B)+H38)</f>
        <v>0</v>
      </c>
      <c r="J38" s="80"/>
      <c r="K38" s="12"/>
      <c r="L38" s="44"/>
      <c r="M38" s="147">
        <v>8.3000000000000001E-3</v>
      </c>
      <c r="N38" s="45"/>
      <c r="O38" s="42"/>
      <c r="P38" s="42"/>
      <c r="Q38" s="157">
        <v>46086</v>
      </c>
      <c r="R38" s="11" t="s">
        <v>138</v>
      </c>
    </row>
    <row r="39" spans="1:18" ht="15" customHeight="1" x14ac:dyDescent="0.35">
      <c r="A39" s="10">
        <v>38</v>
      </c>
      <c r="B39" s="124" t="s">
        <v>136</v>
      </c>
      <c r="C39" s="10" t="str">
        <f t="shared" si="1"/>
        <v>10% BSG+70ppmE_Ash_B_1</v>
      </c>
      <c r="D39" s="10" t="s">
        <v>16</v>
      </c>
      <c r="E39" s="10" t="s">
        <v>17</v>
      </c>
      <c r="F39" s="10">
        <v>1</v>
      </c>
      <c r="G39" s="80"/>
      <c r="H39" s="80"/>
      <c r="I39" s="80">
        <f>SUM(_xlfn.XLOOKUP(Table27[[#This Row],[Recipient number]],Extra_RecipientsWeight!A:A,Extra_RecipientsWeight!B:B)+H39)</f>
        <v>0</v>
      </c>
      <c r="J39" s="80"/>
      <c r="K39" s="12"/>
      <c r="L39" s="44"/>
      <c r="M39" s="148">
        <v>1.3599999999999999E-2</v>
      </c>
      <c r="N39" s="45"/>
      <c r="O39" s="42"/>
      <c r="P39" s="42"/>
      <c r="Q39" s="157">
        <v>46086</v>
      </c>
      <c r="R39" s="11" t="s">
        <v>138</v>
      </c>
    </row>
    <row r="40" spans="1:18" ht="15" customHeight="1" x14ac:dyDescent="0.35">
      <c r="A40" s="10">
        <v>39</v>
      </c>
      <c r="B40" s="124" t="s">
        <v>136</v>
      </c>
      <c r="C40" s="10" t="str">
        <f t="shared" si="1"/>
        <v>10% BSG+70ppmE_Ash_B_2</v>
      </c>
      <c r="D40" s="10" t="s">
        <v>16</v>
      </c>
      <c r="E40" s="10" t="s">
        <v>17</v>
      </c>
      <c r="F40" s="10">
        <v>2</v>
      </c>
      <c r="G40" s="80"/>
      <c r="H40" s="80"/>
      <c r="I40" s="80">
        <f>SUM(_xlfn.XLOOKUP(Table27[[#This Row],[Recipient number]],Extra_RecipientsWeight!A:A,Extra_RecipientsWeight!B:B)+H40)</f>
        <v>0</v>
      </c>
      <c r="J40" s="80"/>
      <c r="K40" s="12"/>
      <c r="L40" s="44"/>
      <c r="M40" s="147">
        <v>1.1699999999999999E-2</v>
      </c>
      <c r="N40" s="45"/>
      <c r="O40" s="42"/>
      <c r="P40" s="42"/>
      <c r="Q40" s="157">
        <v>46086</v>
      </c>
      <c r="R40" s="11" t="s">
        <v>138</v>
      </c>
    </row>
    <row r="41" spans="1:18" ht="15" customHeight="1" x14ac:dyDescent="0.35">
      <c r="A41" s="10">
        <v>40</v>
      </c>
      <c r="B41" s="124" t="s">
        <v>136</v>
      </c>
      <c r="C41" s="10" t="str">
        <f t="shared" si="1"/>
        <v>20% BSG+70ppmE_Ash_B_1</v>
      </c>
      <c r="D41" s="10" t="s">
        <v>18</v>
      </c>
      <c r="E41" s="10" t="s">
        <v>17</v>
      </c>
      <c r="F41" s="10">
        <v>1</v>
      </c>
      <c r="G41" s="80"/>
      <c r="H41" s="80"/>
      <c r="I41" s="80">
        <f>SUM(_xlfn.XLOOKUP(Table27[[#This Row],[Recipient number]],Extra_RecipientsWeight!A:A,Extra_RecipientsWeight!B:B)+H41)</f>
        <v>0</v>
      </c>
      <c r="J41" s="80"/>
      <c r="K41" s="12"/>
      <c r="L41" s="44"/>
      <c r="M41" s="150">
        <v>1.55E-2</v>
      </c>
      <c r="N41" s="45"/>
      <c r="O41" s="42"/>
      <c r="P41" s="42"/>
      <c r="Q41" s="157">
        <v>46086</v>
      </c>
      <c r="R41" s="11" t="s">
        <v>138</v>
      </c>
    </row>
    <row r="42" spans="1:18" ht="15" customHeight="1" x14ac:dyDescent="0.35">
      <c r="A42" s="10">
        <v>41</v>
      </c>
      <c r="B42" s="124" t="s">
        <v>136</v>
      </c>
      <c r="C42" s="10" t="str">
        <f t="shared" si="1"/>
        <v>20% BSG+70ppmE_Ash_B_2</v>
      </c>
      <c r="D42" s="10" t="s">
        <v>18</v>
      </c>
      <c r="E42" s="10" t="s">
        <v>17</v>
      </c>
      <c r="F42" s="10">
        <v>2</v>
      </c>
      <c r="G42" s="80"/>
      <c r="H42" s="80"/>
      <c r="I42" s="80">
        <f>SUM(_xlfn.XLOOKUP(Table27[[#This Row],[Recipient number]],Extra_RecipientsWeight!A:A,Extra_RecipientsWeight!B:B)+H42)</f>
        <v>0</v>
      </c>
      <c r="J42" s="80"/>
      <c r="K42" s="12"/>
      <c r="L42" s="44"/>
      <c r="M42" s="149">
        <v>1.6E-2</v>
      </c>
      <c r="N42" s="45"/>
      <c r="O42" s="42"/>
      <c r="P42" s="42"/>
      <c r="Q42" s="157">
        <v>46086</v>
      </c>
      <c r="R42" s="11" t="s">
        <v>138</v>
      </c>
    </row>
    <row r="43" spans="1:18" ht="15" customHeight="1" x14ac:dyDescent="0.35">
      <c r="A43" s="10">
        <v>42</v>
      </c>
      <c r="B43" s="124" t="s">
        <v>136</v>
      </c>
      <c r="C43" s="10" t="str">
        <f t="shared" si="1"/>
        <v>10% BSG_fraction+70ppmE_Ash_B_1</v>
      </c>
      <c r="D43" s="10" t="s">
        <v>20</v>
      </c>
      <c r="E43" s="10" t="s">
        <v>17</v>
      </c>
      <c r="F43" s="10">
        <v>1</v>
      </c>
      <c r="G43" s="80"/>
      <c r="H43" s="80"/>
      <c r="I43" s="80">
        <f>SUM(_xlfn.XLOOKUP(Table27[[#This Row],[Recipient number]],Extra_RecipientsWeight!A:A,Extra_RecipientsWeight!B:B)+H43)</f>
        <v>0</v>
      </c>
      <c r="J43" s="80"/>
      <c r="K43" s="12"/>
      <c r="L43" s="44"/>
      <c r="M43" s="147">
        <v>1.01E-2</v>
      </c>
      <c r="N43" s="45"/>
      <c r="O43" s="42"/>
      <c r="P43" s="42"/>
      <c r="Q43" s="157">
        <v>46086</v>
      </c>
      <c r="R43" s="11" t="s">
        <v>138</v>
      </c>
    </row>
    <row r="44" spans="1:18" ht="15" customHeight="1" x14ac:dyDescent="0.35">
      <c r="A44" s="10">
        <v>43</v>
      </c>
      <c r="B44" s="124" t="s">
        <v>136</v>
      </c>
      <c r="C44" s="10" t="str">
        <f t="shared" si="1"/>
        <v>10% BSG_fraction+70ppmE_Ash_B_2</v>
      </c>
      <c r="D44" s="10" t="s">
        <v>20</v>
      </c>
      <c r="E44" s="10" t="s">
        <v>17</v>
      </c>
      <c r="F44" s="10">
        <v>2</v>
      </c>
      <c r="G44" s="80"/>
      <c r="H44" s="80"/>
      <c r="I44" s="80">
        <f>SUM(_xlfn.XLOOKUP(Table27[[#This Row],[Recipient number]],Extra_RecipientsWeight!A:A,Extra_RecipientsWeight!B:B)+H44)</f>
        <v>0</v>
      </c>
      <c r="J44" s="80"/>
      <c r="K44" s="12"/>
      <c r="L44" s="44"/>
      <c r="M44" s="147">
        <v>1.24E-2</v>
      </c>
      <c r="N44" s="45"/>
      <c r="O44" s="42"/>
      <c r="P44" s="42"/>
      <c r="Q44" s="157">
        <v>46086</v>
      </c>
      <c r="R44" s="11" t="s">
        <v>138</v>
      </c>
    </row>
    <row r="45" spans="1:18" ht="15" customHeight="1" x14ac:dyDescent="0.35">
      <c r="A45" s="10">
        <v>44</v>
      </c>
      <c r="B45" s="124" t="s">
        <v>136</v>
      </c>
      <c r="C45" s="10" t="str">
        <f t="shared" si="1"/>
        <v>20% BSG_fraction+70ppmE_Ash_B_1</v>
      </c>
      <c r="D45" s="10" t="s">
        <v>21</v>
      </c>
      <c r="E45" s="10" t="s">
        <v>17</v>
      </c>
      <c r="F45" s="10">
        <v>1</v>
      </c>
      <c r="G45" s="80"/>
      <c r="H45" s="80"/>
      <c r="I45" s="80">
        <f>SUM(_xlfn.XLOOKUP(Table27[[#This Row],[Recipient number]],Extra_RecipientsWeight!A:A,Extra_RecipientsWeight!B:B)+H45)</f>
        <v>0</v>
      </c>
      <c r="J45" s="80"/>
      <c r="K45" s="12"/>
      <c r="L45" s="44"/>
      <c r="M45" s="147">
        <v>1.6E-2</v>
      </c>
      <c r="N45" s="45"/>
      <c r="O45" s="42"/>
      <c r="P45" s="42"/>
      <c r="Q45" s="157">
        <v>46086</v>
      </c>
      <c r="R45" s="11" t="s">
        <v>138</v>
      </c>
    </row>
    <row r="46" spans="1:18" ht="15" customHeight="1" x14ac:dyDescent="0.35">
      <c r="A46" s="10">
        <v>45</v>
      </c>
      <c r="B46" s="124" t="s">
        <v>136</v>
      </c>
      <c r="C46" s="10" t="str">
        <f t="shared" si="1"/>
        <v>20% BSG_fraction+70ppmE_Ash_B_2</v>
      </c>
      <c r="D46" s="10" t="s">
        <v>21</v>
      </c>
      <c r="E46" s="10" t="s">
        <v>17</v>
      </c>
      <c r="F46" s="10">
        <v>2</v>
      </c>
      <c r="G46" s="80"/>
      <c r="H46" s="80"/>
      <c r="I46" s="80">
        <f>SUM(_xlfn.XLOOKUP(Table27[[#This Row],[Recipient number]],Extra_RecipientsWeight!A:A,Extra_RecipientsWeight!B:B)+H46)</f>
        <v>0</v>
      </c>
      <c r="J46" s="80"/>
      <c r="K46" s="12"/>
      <c r="L46" s="44"/>
      <c r="M46" s="147">
        <v>1.43E-2</v>
      </c>
      <c r="N46" s="45"/>
      <c r="O46" s="42"/>
      <c r="P46" s="42"/>
      <c r="Q46" s="157">
        <v>46086</v>
      </c>
      <c r="R46" s="11" t="s">
        <v>138</v>
      </c>
    </row>
    <row r="47" spans="1:18" ht="15" customHeight="1" x14ac:dyDescent="0.35">
      <c r="A47" s="10">
        <v>46</v>
      </c>
      <c r="B47" s="124" t="s">
        <v>136</v>
      </c>
      <c r="C47" s="10" t="str">
        <f t="shared" si="1"/>
        <v>10% BSG+140ppmE_Ash_B_1</v>
      </c>
      <c r="D47" s="10" t="s">
        <v>22</v>
      </c>
      <c r="E47" s="10" t="s">
        <v>17</v>
      </c>
      <c r="F47" s="10">
        <v>1</v>
      </c>
      <c r="G47" s="80"/>
      <c r="H47" s="80"/>
      <c r="I47" s="80">
        <f>SUM(_xlfn.XLOOKUP(Table27[[#This Row],[Recipient number]],Extra_RecipientsWeight!A:A,Extra_RecipientsWeight!B:B)+H47)</f>
        <v>0</v>
      </c>
      <c r="J47" s="80"/>
      <c r="K47" s="12"/>
      <c r="L47" s="44"/>
      <c r="M47" s="147">
        <v>1.4199999999999999E-2</v>
      </c>
      <c r="N47" s="45"/>
      <c r="O47" s="42"/>
      <c r="P47" s="42"/>
      <c r="Q47" s="157">
        <v>46086</v>
      </c>
      <c r="R47" s="11" t="s">
        <v>138</v>
      </c>
    </row>
    <row r="48" spans="1:18" ht="15" customHeight="1" x14ac:dyDescent="0.35">
      <c r="A48" s="10">
        <v>47</v>
      </c>
      <c r="B48" s="124" t="s">
        <v>136</v>
      </c>
      <c r="C48" s="10" t="str">
        <f t="shared" si="1"/>
        <v>10% BSG+140ppmE_Ash_B_2</v>
      </c>
      <c r="D48" s="10" t="s">
        <v>22</v>
      </c>
      <c r="E48" s="10" t="s">
        <v>17</v>
      </c>
      <c r="F48" s="10">
        <v>2</v>
      </c>
      <c r="G48" s="80"/>
      <c r="H48" s="80"/>
      <c r="I48" s="80">
        <f>SUM(_xlfn.XLOOKUP(Table27[[#This Row],[Recipient number]],Extra_RecipientsWeight!A:A,Extra_RecipientsWeight!B:B)+H48)</f>
        <v>0</v>
      </c>
      <c r="J48" s="80"/>
      <c r="K48" s="12"/>
      <c r="L48" s="44"/>
      <c r="M48" s="147">
        <v>1.47E-2</v>
      </c>
      <c r="N48" s="45"/>
      <c r="O48" s="42"/>
      <c r="P48" s="42"/>
      <c r="Q48" s="157">
        <v>46086</v>
      </c>
      <c r="R48" s="11" t="s">
        <v>138</v>
      </c>
    </row>
    <row r="49" spans="1:18" ht="15" customHeight="1" x14ac:dyDescent="0.35">
      <c r="A49" s="10">
        <v>48</v>
      </c>
      <c r="B49" s="124" t="s">
        <v>136</v>
      </c>
      <c r="C49" s="10" t="str">
        <f t="shared" si="1"/>
        <v>20% BSG+140ppmE_Ash_B_1</v>
      </c>
      <c r="D49" s="10" t="s">
        <v>23</v>
      </c>
      <c r="E49" s="10" t="s">
        <v>17</v>
      </c>
      <c r="F49" s="10">
        <v>1</v>
      </c>
      <c r="G49" s="80"/>
      <c r="H49" s="80"/>
      <c r="I49" s="80">
        <f>SUM(_xlfn.XLOOKUP(Table27[[#This Row],[Recipient number]],Extra_RecipientsWeight!A:A,Extra_RecipientsWeight!B:B)+H49)</f>
        <v>0</v>
      </c>
      <c r="J49" s="80"/>
      <c r="K49" s="12"/>
      <c r="L49" s="44"/>
      <c r="M49" s="147">
        <v>1.67E-2</v>
      </c>
      <c r="N49" s="45"/>
      <c r="O49" s="42"/>
      <c r="P49" s="42"/>
      <c r="Q49" s="157">
        <v>46086</v>
      </c>
      <c r="R49" s="11" t="s">
        <v>138</v>
      </c>
    </row>
    <row r="50" spans="1:18" ht="15" customHeight="1" x14ac:dyDescent="0.35">
      <c r="A50" s="10">
        <v>49</v>
      </c>
      <c r="B50" s="124" t="s">
        <v>136</v>
      </c>
      <c r="C50" s="10" t="str">
        <f t="shared" si="1"/>
        <v>20% BSG+140ppmE_Ash_B_2</v>
      </c>
      <c r="D50" s="10" t="s">
        <v>23</v>
      </c>
      <c r="E50" s="10" t="s">
        <v>17</v>
      </c>
      <c r="F50" s="10">
        <v>2</v>
      </c>
      <c r="G50" s="80"/>
      <c r="H50" s="80"/>
      <c r="I50" s="80">
        <f>SUM(_xlfn.XLOOKUP(Table27[[#This Row],[Recipient number]],Extra_RecipientsWeight!A:A,Extra_RecipientsWeight!B:B)+H50)</f>
        <v>0</v>
      </c>
      <c r="J50" s="80"/>
      <c r="K50" s="12"/>
      <c r="L50" s="44"/>
      <c r="M50" s="149">
        <v>2.06E-2</v>
      </c>
      <c r="N50" s="45"/>
      <c r="O50" s="42"/>
      <c r="P50" s="42"/>
      <c r="Q50" s="157">
        <v>46086</v>
      </c>
      <c r="R50" s="11" t="s">
        <v>138</v>
      </c>
    </row>
    <row r="51" spans="1:18" ht="15" customHeight="1" x14ac:dyDescent="0.35">
      <c r="A51" s="10">
        <v>50</v>
      </c>
      <c r="B51" s="124" t="s">
        <v>136</v>
      </c>
      <c r="C51" s="10" t="str">
        <f t="shared" si="1"/>
        <v>10% BSG_fraction+140ppmE_Ash_B_1</v>
      </c>
      <c r="D51" s="10" t="s">
        <v>26</v>
      </c>
      <c r="E51" s="10" t="s">
        <v>17</v>
      </c>
      <c r="F51" s="10">
        <v>1</v>
      </c>
      <c r="G51" s="80"/>
      <c r="H51" s="80"/>
      <c r="I51" s="80">
        <f>SUM(_xlfn.XLOOKUP(Table27[[#This Row],[Recipient number]],Extra_RecipientsWeight!A:A,Extra_RecipientsWeight!B:B)+H51)</f>
        <v>0</v>
      </c>
      <c r="J51" s="80"/>
      <c r="K51" s="12"/>
      <c r="L51" s="44"/>
      <c r="M51" s="149">
        <v>1.1200000000000002E-2</v>
      </c>
      <c r="N51" s="45"/>
      <c r="O51" s="42"/>
      <c r="P51" s="42"/>
      <c r="Q51" s="157">
        <v>46086</v>
      </c>
      <c r="R51" s="11" t="s">
        <v>138</v>
      </c>
    </row>
    <row r="52" spans="1:18" ht="15" customHeight="1" x14ac:dyDescent="0.35">
      <c r="A52" s="10">
        <v>51</v>
      </c>
      <c r="B52" s="124" t="s">
        <v>136</v>
      </c>
      <c r="C52" s="10" t="str">
        <f t="shared" si="1"/>
        <v>10% BSG_fraction+140ppmE_Ash_B_2</v>
      </c>
      <c r="D52" s="10" t="s">
        <v>26</v>
      </c>
      <c r="E52" s="10" t="s">
        <v>17</v>
      </c>
      <c r="F52" s="10">
        <v>2</v>
      </c>
      <c r="G52" s="80"/>
      <c r="H52" s="80"/>
      <c r="I52" s="80">
        <f>SUM(_xlfn.XLOOKUP(Table27[[#This Row],[Recipient number]],Extra_RecipientsWeight!A:A,Extra_RecipientsWeight!B:B)+H52)</f>
        <v>0</v>
      </c>
      <c r="J52" s="80"/>
      <c r="K52" s="12"/>
      <c r="L52" s="44"/>
      <c r="M52" s="149">
        <v>1.55E-2</v>
      </c>
      <c r="N52" s="45"/>
      <c r="O52" s="42"/>
      <c r="P52" s="42"/>
      <c r="Q52" s="157">
        <v>46086</v>
      </c>
      <c r="R52" s="11" t="s">
        <v>138</v>
      </c>
    </row>
    <row r="53" spans="1:18" ht="15" customHeight="1" x14ac:dyDescent="0.35">
      <c r="A53" s="10">
        <v>52</v>
      </c>
      <c r="B53" s="124" t="s">
        <v>136</v>
      </c>
      <c r="C53" s="10" t="str">
        <f t="shared" si="1"/>
        <v>20% BSG_fraction+140ppmE_Ash_B_1</v>
      </c>
      <c r="D53" s="10" t="s">
        <v>27</v>
      </c>
      <c r="E53" s="10" t="s">
        <v>17</v>
      </c>
      <c r="F53" s="10">
        <v>1</v>
      </c>
      <c r="G53" s="80"/>
      <c r="H53" s="80"/>
      <c r="I53" s="80">
        <f>SUM(_xlfn.XLOOKUP(Table27[[#This Row],[Recipient number]],Extra_RecipientsWeight!A:A,Extra_RecipientsWeight!B:B)+H53)</f>
        <v>0</v>
      </c>
      <c r="J53" s="80"/>
      <c r="K53" s="12"/>
      <c r="L53" s="44"/>
      <c r="M53" s="149">
        <v>1.7000000000000001E-2</v>
      </c>
      <c r="N53" s="45"/>
      <c r="O53" s="42"/>
      <c r="P53" s="42"/>
      <c r="Q53" s="157">
        <v>46086</v>
      </c>
      <c r="R53" s="11" t="s">
        <v>138</v>
      </c>
    </row>
    <row r="54" spans="1:18" ht="15" customHeight="1" x14ac:dyDescent="0.35">
      <c r="A54" s="10">
        <v>53</v>
      </c>
      <c r="B54" s="124" t="s">
        <v>136</v>
      </c>
      <c r="C54" s="10" t="str">
        <f t="shared" si="1"/>
        <v>20% BSG_fraction+140ppmE_Ash_B_2</v>
      </c>
      <c r="D54" s="10" t="s">
        <v>27</v>
      </c>
      <c r="E54" s="10" t="s">
        <v>17</v>
      </c>
      <c r="F54" s="10">
        <v>2</v>
      </c>
      <c r="G54" s="80"/>
      <c r="H54" s="80"/>
      <c r="I54" s="80">
        <f>SUM(_xlfn.XLOOKUP(Table27[[#This Row],[Recipient number]],Extra_RecipientsWeight!A:A,Extra_RecipientsWeight!B:B)+H54)</f>
        <v>0</v>
      </c>
      <c r="J54" s="80"/>
      <c r="K54" s="12"/>
      <c r="L54" s="44"/>
      <c r="M54" s="149">
        <v>1.3500000000000002E-2</v>
      </c>
      <c r="N54" s="45"/>
      <c r="O54" s="42"/>
      <c r="P54" s="42"/>
      <c r="Q54" s="157">
        <v>46086</v>
      </c>
      <c r="R54" s="11" t="s">
        <v>138</v>
      </c>
    </row>
    <row r="55" spans="1:18" ht="15" customHeight="1" x14ac:dyDescent="0.35">
      <c r="A55" s="10">
        <v>54</v>
      </c>
      <c r="B55" s="124" t="s">
        <v>136</v>
      </c>
      <c r="C55" s="10" t="str">
        <f t="shared" si="1"/>
        <v>Flour_Fibre_B_1</v>
      </c>
      <c r="D55" s="10" t="s">
        <v>10</v>
      </c>
      <c r="E55" s="10" t="s">
        <v>28</v>
      </c>
      <c r="F55" s="10">
        <v>1</v>
      </c>
      <c r="G55" s="15"/>
      <c r="H55" s="80"/>
      <c r="I55" s="80">
        <f>SUM(_xlfn.XLOOKUP(Table27[[#This Row],[Recipient number]],Extra_RecipientsWeight!A:A,Extra_RecipientsWeight!B:B)+H55)</f>
        <v>0</v>
      </c>
      <c r="J55" s="15"/>
      <c r="K55" s="15"/>
      <c r="L55" s="15"/>
      <c r="M55" s="15"/>
      <c r="N55" s="42"/>
      <c r="O55" s="42"/>
      <c r="P55" s="40">
        <v>0</v>
      </c>
      <c r="Q55" s="157">
        <v>46107</v>
      </c>
      <c r="R55" s="11" t="s">
        <v>112</v>
      </c>
    </row>
    <row r="56" spans="1:18" ht="15" customHeight="1" x14ac:dyDescent="0.35">
      <c r="A56" s="10">
        <v>55</v>
      </c>
      <c r="B56" s="124" t="s">
        <v>136</v>
      </c>
      <c r="C56" s="10" t="str">
        <f t="shared" si="1"/>
        <v>Flour_Fibre_B_2</v>
      </c>
      <c r="D56" s="10" t="s">
        <v>10</v>
      </c>
      <c r="E56" s="10" t="s">
        <v>28</v>
      </c>
      <c r="F56" s="10">
        <v>2</v>
      </c>
      <c r="G56" s="15"/>
      <c r="H56" s="80"/>
      <c r="I56" s="80">
        <f>SUM(_xlfn.XLOOKUP(Table27[[#This Row],[Recipient number]],Extra_RecipientsWeight!A:A,Extra_RecipientsWeight!B:B)+H56)</f>
        <v>0</v>
      </c>
      <c r="J56" s="15"/>
      <c r="K56" s="15"/>
      <c r="L56" s="15"/>
      <c r="M56" s="15"/>
      <c r="N56" s="42"/>
      <c r="O56" s="42"/>
      <c r="P56" s="40">
        <v>0</v>
      </c>
      <c r="Q56" s="157">
        <v>46107</v>
      </c>
      <c r="R56" s="11" t="s">
        <v>112</v>
      </c>
    </row>
    <row r="57" spans="1:18" ht="15" customHeight="1" x14ac:dyDescent="0.35">
      <c r="A57" s="10">
        <v>56</v>
      </c>
      <c r="B57" s="124" t="s">
        <v>136</v>
      </c>
      <c r="C57" s="10" t="str">
        <f t="shared" si="1"/>
        <v>10% BSG+70ppmE_Fibre_B_1</v>
      </c>
      <c r="D57" s="10" t="s">
        <v>16</v>
      </c>
      <c r="E57" s="10" t="s">
        <v>28</v>
      </c>
      <c r="F57" s="10">
        <v>1</v>
      </c>
      <c r="G57" s="15"/>
      <c r="H57" s="80"/>
      <c r="I57" s="80">
        <f>SUM(_xlfn.XLOOKUP(Table27[[#This Row],[Recipient number]],Extra_RecipientsWeight!A:A,Extra_RecipientsWeight!B:B)+H57)</f>
        <v>0</v>
      </c>
      <c r="J57" s="15"/>
      <c r="K57" s="15"/>
      <c r="L57" s="15"/>
      <c r="M57" s="15"/>
      <c r="N57" s="42"/>
      <c r="O57" s="42"/>
      <c r="P57" s="153">
        <v>4.0000000000000002E-4</v>
      </c>
      <c r="Q57" s="157">
        <v>46107</v>
      </c>
      <c r="R57" s="11" t="s">
        <v>112</v>
      </c>
    </row>
    <row r="58" spans="1:18" ht="15" customHeight="1" x14ac:dyDescent="0.35">
      <c r="A58" s="10">
        <v>57</v>
      </c>
      <c r="B58" s="124" t="s">
        <v>136</v>
      </c>
      <c r="C58" s="10" t="str">
        <f t="shared" si="1"/>
        <v>10% BSG+70ppmE_Fibre_B_2</v>
      </c>
      <c r="D58" s="10" t="s">
        <v>16</v>
      </c>
      <c r="E58" s="10" t="s">
        <v>28</v>
      </c>
      <c r="F58" s="10">
        <v>2</v>
      </c>
      <c r="G58" s="15"/>
      <c r="H58" s="80"/>
      <c r="I58" s="80">
        <f>SUM(_xlfn.XLOOKUP(Table27[[#This Row],[Recipient number]],Extra_RecipientsWeight!A:A,Extra_RecipientsWeight!B:B)+H58)</f>
        <v>0</v>
      </c>
      <c r="J58" s="15"/>
      <c r="K58" s="15"/>
      <c r="L58" s="15"/>
      <c r="M58" s="15"/>
      <c r="N58" s="42"/>
      <c r="O58" s="42"/>
      <c r="P58" s="40">
        <v>5.0000000000000001E-3</v>
      </c>
      <c r="Q58" s="157">
        <v>46107</v>
      </c>
      <c r="R58" s="11" t="s">
        <v>112</v>
      </c>
    </row>
    <row r="59" spans="1:18" ht="15" customHeight="1" x14ac:dyDescent="0.35">
      <c r="A59" s="10">
        <v>58</v>
      </c>
      <c r="B59" s="124" t="s">
        <v>136</v>
      </c>
      <c r="C59" s="10" t="str">
        <f t="shared" si="1"/>
        <v>20% BSG+70ppmE_Fibre_B_1</v>
      </c>
      <c r="D59" s="10" t="s">
        <v>18</v>
      </c>
      <c r="E59" s="10" t="s">
        <v>28</v>
      </c>
      <c r="F59" s="10">
        <v>1</v>
      </c>
      <c r="G59" s="15"/>
      <c r="H59" s="80"/>
      <c r="I59" s="80">
        <f>SUM(_xlfn.XLOOKUP(Table27[[#This Row],[Recipient number]],Extra_RecipientsWeight!A:A,Extra_RecipientsWeight!B:B)+H59)</f>
        <v>0</v>
      </c>
      <c r="J59" s="15"/>
      <c r="K59" s="15"/>
      <c r="L59" s="15"/>
      <c r="M59" s="15"/>
      <c r="N59" s="42"/>
      <c r="O59" s="42"/>
      <c r="P59" s="40">
        <v>1.9599999999999999E-2</v>
      </c>
      <c r="Q59" s="157">
        <v>46107</v>
      </c>
      <c r="R59" s="11" t="s">
        <v>112</v>
      </c>
    </row>
    <row r="60" spans="1:18" ht="15" customHeight="1" x14ac:dyDescent="0.35">
      <c r="A60" s="10">
        <v>59</v>
      </c>
      <c r="B60" s="124" t="s">
        <v>136</v>
      </c>
      <c r="C60" s="10" t="str">
        <f t="shared" si="1"/>
        <v>20% BSG+70ppmE_Fibre_B_2</v>
      </c>
      <c r="D60" s="10" t="s">
        <v>18</v>
      </c>
      <c r="E60" s="10" t="s">
        <v>28</v>
      </c>
      <c r="F60" s="10">
        <v>2</v>
      </c>
      <c r="G60" s="15"/>
      <c r="H60" s="80"/>
      <c r="I60" s="80">
        <f>SUM(_xlfn.XLOOKUP(Table27[[#This Row],[Recipient number]],Extra_RecipientsWeight!A:A,Extra_RecipientsWeight!B:B)+H60)</f>
        <v>0</v>
      </c>
      <c r="J60" s="15"/>
      <c r="K60" s="15"/>
      <c r="L60" s="15"/>
      <c r="M60" s="15"/>
      <c r="N60" s="42"/>
      <c r="O60" s="42"/>
      <c r="P60" s="40">
        <v>1.61E-2</v>
      </c>
      <c r="Q60" s="157">
        <v>46107</v>
      </c>
      <c r="R60" s="11" t="s">
        <v>112</v>
      </c>
    </row>
    <row r="61" spans="1:18" ht="15" customHeight="1" x14ac:dyDescent="0.35">
      <c r="A61" s="10">
        <v>60</v>
      </c>
      <c r="B61" s="124" t="s">
        <v>136</v>
      </c>
      <c r="C61" s="10" t="str">
        <f t="shared" si="1"/>
        <v>10% BSG_fraction+70ppmE_Fibre_B_1</v>
      </c>
      <c r="D61" s="10" t="s">
        <v>20</v>
      </c>
      <c r="E61" s="10" t="s">
        <v>28</v>
      </c>
      <c r="F61" s="10">
        <v>1</v>
      </c>
      <c r="G61" s="15"/>
      <c r="H61" s="80"/>
      <c r="I61" s="80">
        <f>SUM(_xlfn.XLOOKUP(Table27[[#This Row],[Recipient number]],Extra_RecipientsWeight!A:A,Extra_RecipientsWeight!B:B)+H61)</f>
        <v>0</v>
      </c>
      <c r="J61" s="15"/>
      <c r="K61" s="15"/>
      <c r="L61" s="15"/>
      <c r="M61" s="15"/>
      <c r="N61" s="42"/>
      <c r="O61" s="42"/>
      <c r="P61" s="40">
        <v>0</v>
      </c>
      <c r="Q61" s="157">
        <v>46107</v>
      </c>
      <c r="R61" s="11" t="s">
        <v>112</v>
      </c>
    </row>
    <row r="62" spans="1:18" ht="15" customHeight="1" x14ac:dyDescent="0.35">
      <c r="A62" s="10">
        <v>61</v>
      </c>
      <c r="B62" s="124" t="s">
        <v>136</v>
      </c>
      <c r="C62" s="10" t="str">
        <f t="shared" si="1"/>
        <v>10% BSG_fraction+70ppmE_Fibre_B_2</v>
      </c>
      <c r="D62" s="10" t="s">
        <v>20</v>
      </c>
      <c r="E62" s="10" t="s">
        <v>28</v>
      </c>
      <c r="F62" s="10">
        <v>2</v>
      </c>
      <c r="G62" s="15"/>
      <c r="H62" s="80"/>
      <c r="I62" s="80">
        <f>SUM(_xlfn.XLOOKUP(Table27[[#This Row],[Recipient number]],Extra_RecipientsWeight!A:A,Extra_RecipientsWeight!B:B)+H62)</f>
        <v>0</v>
      </c>
      <c r="J62" s="15"/>
      <c r="K62" s="15"/>
      <c r="L62" s="15"/>
      <c r="M62" s="15"/>
      <c r="N62" s="42"/>
      <c r="O62" s="42"/>
      <c r="P62" s="40">
        <v>0</v>
      </c>
      <c r="Q62" s="157">
        <v>46107</v>
      </c>
      <c r="R62" s="11" t="s">
        <v>112</v>
      </c>
    </row>
    <row r="63" spans="1:18" ht="15" customHeight="1" x14ac:dyDescent="0.35">
      <c r="A63" s="10">
        <v>62</v>
      </c>
      <c r="B63" s="124" t="s">
        <v>136</v>
      </c>
      <c r="C63" s="10" t="str">
        <f t="shared" si="1"/>
        <v>20% BSG_fraction+70ppmE_Fibre_B_1</v>
      </c>
      <c r="D63" s="10" t="s">
        <v>21</v>
      </c>
      <c r="E63" s="10" t="s">
        <v>28</v>
      </c>
      <c r="F63" s="10">
        <v>1</v>
      </c>
      <c r="G63" s="15"/>
      <c r="H63" s="80"/>
      <c r="I63" s="80">
        <f>SUM(_xlfn.XLOOKUP(Table27[[#This Row],[Recipient number]],Extra_RecipientsWeight!A:A,Extra_RecipientsWeight!B:B)+H63)</f>
        <v>0</v>
      </c>
      <c r="J63" s="15"/>
      <c r="K63" s="15"/>
      <c r="L63" s="15"/>
      <c r="M63" s="15"/>
      <c r="N63" s="42"/>
      <c r="O63" s="42"/>
      <c r="P63" s="40">
        <v>6.6E-3</v>
      </c>
      <c r="Q63" s="157">
        <v>46107</v>
      </c>
      <c r="R63" s="11" t="s">
        <v>112</v>
      </c>
    </row>
    <row r="64" spans="1:18" ht="15" customHeight="1" x14ac:dyDescent="0.35">
      <c r="A64" s="10">
        <v>63</v>
      </c>
      <c r="B64" s="124" t="s">
        <v>136</v>
      </c>
      <c r="C64" s="10" t="str">
        <f t="shared" si="1"/>
        <v>20% BSG_fraction+70ppmE_Fibre_B_2</v>
      </c>
      <c r="D64" s="10" t="s">
        <v>21</v>
      </c>
      <c r="E64" s="10" t="s">
        <v>28</v>
      </c>
      <c r="F64" s="10">
        <v>2</v>
      </c>
      <c r="G64" s="15"/>
      <c r="H64" s="80"/>
      <c r="I64" s="80">
        <f>SUM(_xlfn.XLOOKUP(Table27[[#This Row],[Recipient number]],Extra_RecipientsWeight!A:A,Extra_RecipientsWeight!B:B)+H64)</f>
        <v>0</v>
      </c>
      <c r="J64" s="15"/>
      <c r="K64" s="15"/>
      <c r="L64" s="15"/>
      <c r="M64" s="15"/>
      <c r="N64" s="42"/>
      <c r="O64" s="42"/>
      <c r="P64" s="40">
        <v>5.1999999999999998E-3</v>
      </c>
      <c r="Q64" s="157">
        <v>46107</v>
      </c>
      <c r="R64" s="11" t="s">
        <v>112</v>
      </c>
    </row>
    <row r="65" spans="1:18" ht="15" customHeight="1" x14ac:dyDescent="0.35">
      <c r="A65" s="10">
        <v>64</v>
      </c>
      <c r="B65" s="124" t="s">
        <v>136</v>
      </c>
      <c r="C65" s="10" t="str">
        <f t="shared" si="1"/>
        <v>10% BSG+140ppmE_Fibre_B_1</v>
      </c>
      <c r="D65" s="10" t="s">
        <v>22</v>
      </c>
      <c r="E65" s="10" t="s">
        <v>28</v>
      </c>
      <c r="F65" s="10">
        <v>1</v>
      </c>
      <c r="G65" s="15"/>
      <c r="H65" s="80"/>
      <c r="I65" s="80">
        <f>SUM(_xlfn.XLOOKUP(Table27[[#This Row],[Recipient number]],Extra_RecipientsWeight!A:A,Extra_RecipientsWeight!B:B)+H65)</f>
        <v>0</v>
      </c>
      <c r="J65" s="15"/>
      <c r="K65" s="15"/>
      <c r="L65" s="15"/>
      <c r="M65" s="15"/>
      <c r="N65" s="42"/>
      <c r="O65" s="42"/>
      <c r="P65" s="40">
        <v>2.2000000000000001E-3</v>
      </c>
      <c r="Q65" s="157">
        <v>46107</v>
      </c>
      <c r="R65" s="11" t="s">
        <v>112</v>
      </c>
    </row>
    <row r="66" spans="1:18" ht="15" customHeight="1" x14ac:dyDescent="0.35">
      <c r="A66" s="10">
        <v>65</v>
      </c>
      <c r="B66" s="124" t="s">
        <v>136</v>
      </c>
      <c r="C66" s="10" t="str">
        <f t="shared" ref="C66:C97" si="2">_xlfn.CONCAT(D66,"_",E66,"_",B66,"_",F66)</f>
        <v>10% BSG+140ppmE_Fibre_B_2</v>
      </c>
      <c r="D66" s="10" t="s">
        <v>22</v>
      </c>
      <c r="E66" s="10" t="s">
        <v>28</v>
      </c>
      <c r="F66" s="10">
        <v>2</v>
      </c>
      <c r="G66" s="15"/>
      <c r="H66" s="80"/>
      <c r="I66" s="80">
        <f>SUM(_xlfn.XLOOKUP(Table27[[#This Row],[Recipient number]],Extra_RecipientsWeight!A:A,Extra_RecipientsWeight!B:B)+H66)</f>
        <v>0</v>
      </c>
      <c r="J66" s="15"/>
      <c r="K66" s="15"/>
      <c r="L66" s="15"/>
      <c r="M66" s="15"/>
      <c r="N66" s="42"/>
      <c r="O66" s="42"/>
      <c r="P66" s="40">
        <v>2.2000000000000001E-3</v>
      </c>
      <c r="Q66" s="157">
        <v>46107</v>
      </c>
      <c r="R66" s="11" t="s">
        <v>112</v>
      </c>
    </row>
    <row r="67" spans="1:18" ht="15" customHeight="1" x14ac:dyDescent="0.35">
      <c r="A67" s="10">
        <v>66</v>
      </c>
      <c r="B67" s="124" t="s">
        <v>136</v>
      </c>
      <c r="C67" s="10" t="str">
        <f t="shared" si="2"/>
        <v>20% BSG+140ppmE_Fibre_B_1</v>
      </c>
      <c r="D67" s="10" t="s">
        <v>23</v>
      </c>
      <c r="E67" s="10" t="s">
        <v>28</v>
      </c>
      <c r="F67" s="10">
        <v>1</v>
      </c>
      <c r="G67" s="15"/>
      <c r="H67" s="80"/>
      <c r="I67" s="80">
        <f>SUM(_xlfn.XLOOKUP(Table27[[#This Row],[Recipient number]],Extra_RecipientsWeight!A:A,Extra_RecipientsWeight!B:B)+H67)</f>
        <v>0</v>
      </c>
      <c r="J67" s="15"/>
      <c r="K67" s="15"/>
      <c r="L67" s="15"/>
      <c r="M67" s="15"/>
      <c r="N67" s="42"/>
      <c r="O67" s="42"/>
      <c r="P67" s="40">
        <v>1.67E-2</v>
      </c>
      <c r="Q67" s="157">
        <v>46107</v>
      </c>
      <c r="R67" s="11" t="s">
        <v>112</v>
      </c>
    </row>
    <row r="68" spans="1:18" ht="15" customHeight="1" x14ac:dyDescent="0.35">
      <c r="A68" s="10">
        <v>67</v>
      </c>
      <c r="B68" s="124" t="s">
        <v>136</v>
      </c>
      <c r="C68" s="10" t="str">
        <f t="shared" si="2"/>
        <v>20% BSG+140ppmE_Fibre_B_2</v>
      </c>
      <c r="D68" s="10" t="s">
        <v>23</v>
      </c>
      <c r="E68" s="10" t="s">
        <v>28</v>
      </c>
      <c r="F68" s="10">
        <v>2</v>
      </c>
      <c r="G68" s="15"/>
      <c r="H68" s="80"/>
      <c r="I68" s="80">
        <f>SUM(_xlfn.XLOOKUP(Table27[[#This Row],[Recipient number]],Extra_RecipientsWeight!A:A,Extra_RecipientsWeight!B:B)+H68)</f>
        <v>0</v>
      </c>
      <c r="J68" s="15"/>
      <c r="K68" s="15"/>
      <c r="L68" s="15"/>
      <c r="M68" s="15"/>
      <c r="N68" s="42"/>
      <c r="O68" s="42"/>
      <c r="P68" s="40">
        <v>1.1900000000000001E-2</v>
      </c>
      <c r="Q68" s="157">
        <v>46107</v>
      </c>
      <c r="R68" s="11" t="s">
        <v>112</v>
      </c>
    </row>
    <row r="69" spans="1:18" ht="15" customHeight="1" x14ac:dyDescent="0.35">
      <c r="A69" s="10">
        <v>68</v>
      </c>
      <c r="B69" s="124" t="s">
        <v>136</v>
      </c>
      <c r="C69" s="10" t="str">
        <f t="shared" si="2"/>
        <v>10% BSG_fraction+140ppmE_Fibre_B_1</v>
      </c>
      <c r="D69" s="10" t="s">
        <v>26</v>
      </c>
      <c r="E69" s="10" t="s">
        <v>28</v>
      </c>
      <c r="F69" s="10">
        <v>1</v>
      </c>
      <c r="G69" s="15"/>
      <c r="H69" s="80"/>
      <c r="I69" s="80">
        <f>SUM(_xlfn.XLOOKUP(Table27[[#This Row],[Recipient number]],Extra_RecipientsWeight!A:A,Extra_RecipientsWeight!B:B)+H69)</f>
        <v>0</v>
      </c>
      <c r="J69" s="15"/>
      <c r="K69" s="15"/>
      <c r="L69" s="15"/>
      <c r="M69" s="15"/>
      <c r="N69" s="42"/>
      <c r="O69" s="42"/>
      <c r="P69" s="40">
        <v>0</v>
      </c>
      <c r="Q69" s="157">
        <v>46107</v>
      </c>
      <c r="R69" s="11" t="s">
        <v>112</v>
      </c>
    </row>
    <row r="70" spans="1:18" ht="15" customHeight="1" x14ac:dyDescent="0.35">
      <c r="A70" s="10">
        <v>69</v>
      </c>
      <c r="B70" s="124" t="s">
        <v>136</v>
      </c>
      <c r="C70" s="10" t="str">
        <f t="shared" si="2"/>
        <v>10% BSG_fraction+140ppmE_Fibre_B_2</v>
      </c>
      <c r="D70" s="10" t="s">
        <v>26</v>
      </c>
      <c r="E70" s="10" t="s">
        <v>28</v>
      </c>
      <c r="F70" s="10">
        <v>2</v>
      </c>
      <c r="G70" s="15"/>
      <c r="H70" s="80"/>
      <c r="I70" s="80">
        <f>SUM(_xlfn.XLOOKUP(Table27[[#This Row],[Recipient number]],Extra_RecipientsWeight!A:A,Extra_RecipientsWeight!B:B)+H70)</f>
        <v>0</v>
      </c>
      <c r="J70" s="15"/>
      <c r="K70" s="15"/>
      <c r="L70" s="15"/>
      <c r="M70" s="15"/>
      <c r="N70" s="42"/>
      <c r="O70" s="42"/>
      <c r="P70" s="40">
        <v>2.0000000000000001E-4</v>
      </c>
      <c r="Q70" s="157">
        <v>46107</v>
      </c>
      <c r="R70" s="11" t="s">
        <v>112</v>
      </c>
    </row>
    <row r="71" spans="1:18" ht="15" customHeight="1" x14ac:dyDescent="0.35">
      <c r="A71" s="10">
        <v>70</v>
      </c>
      <c r="B71" s="124" t="s">
        <v>136</v>
      </c>
      <c r="C71" s="10" t="str">
        <f t="shared" si="2"/>
        <v>20% BSG_fraction+140ppmE_Fibre_B_1</v>
      </c>
      <c r="D71" s="10" t="s">
        <v>27</v>
      </c>
      <c r="E71" s="10" t="s">
        <v>28</v>
      </c>
      <c r="F71" s="10">
        <v>1</v>
      </c>
      <c r="G71" s="15"/>
      <c r="H71" s="80"/>
      <c r="I71" s="80">
        <f>SUM(_xlfn.XLOOKUP(Table27[[#This Row],[Recipient number]],Extra_RecipientsWeight!A:A,Extra_RecipientsWeight!B:B)+H71)</f>
        <v>0</v>
      </c>
      <c r="J71" s="15"/>
      <c r="K71" s="15"/>
      <c r="L71" s="15"/>
      <c r="M71" s="15"/>
      <c r="N71" s="42"/>
      <c r="O71" s="42"/>
      <c r="P71" s="40">
        <v>2.8E-3</v>
      </c>
      <c r="Q71" s="157">
        <v>46107</v>
      </c>
      <c r="R71" s="11" t="s">
        <v>112</v>
      </c>
    </row>
    <row r="72" spans="1:18" ht="15" customHeight="1" x14ac:dyDescent="0.35">
      <c r="A72" s="10">
        <v>71</v>
      </c>
      <c r="B72" s="124" t="s">
        <v>136</v>
      </c>
      <c r="C72" s="10" t="str">
        <f t="shared" si="2"/>
        <v>20% BSG_fraction+140ppmE_Fibre_B_2</v>
      </c>
      <c r="D72" s="10" t="s">
        <v>27</v>
      </c>
      <c r="E72" s="10" t="s">
        <v>28</v>
      </c>
      <c r="F72" s="10">
        <v>2</v>
      </c>
      <c r="G72" s="15"/>
      <c r="H72" s="80"/>
      <c r="I72" s="80">
        <f>SUM(_xlfn.XLOOKUP(Table27[[#This Row],[Recipient number]],Extra_RecipientsWeight!A:A,Extra_RecipientsWeight!B:B)+H72)</f>
        <v>0</v>
      </c>
      <c r="J72" s="15"/>
      <c r="K72" s="15"/>
      <c r="L72" s="15"/>
      <c r="M72" s="15"/>
      <c r="N72" s="42"/>
      <c r="O72" s="42"/>
      <c r="P72" s="40">
        <v>0</v>
      </c>
      <c r="Q72" s="157">
        <v>46107</v>
      </c>
      <c r="R72" s="11" t="s">
        <v>112</v>
      </c>
    </row>
    <row r="73" spans="1:18" ht="15" customHeight="1" x14ac:dyDescent="0.35">
      <c r="A73" s="10">
        <v>72</v>
      </c>
      <c r="B73" s="124" t="s">
        <v>136</v>
      </c>
      <c r="C73" s="10" t="str">
        <f t="shared" si="2"/>
        <v>Flour_Moisture_B_1</v>
      </c>
      <c r="D73" s="10" t="s">
        <v>10</v>
      </c>
      <c r="E73" s="10" t="s">
        <v>9</v>
      </c>
      <c r="F73" s="10">
        <v>1</v>
      </c>
      <c r="G73" s="80"/>
      <c r="H73" s="80"/>
      <c r="I73" s="80">
        <f>SUM(_xlfn.XLOOKUP(Table27[[#This Row],[Recipient number]],Extra_RecipientsWeight!A:A,Extra_RecipientsWeight!B:B)+H73)</f>
        <v>0</v>
      </c>
      <c r="J73" s="80"/>
      <c r="K73" s="39">
        <v>8.6900000000000005E-2</v>
      </c>
      <c r="L73" s="40">
        <f t="shared" ref="L73:L81" si="3">1-K73</f>
        <v>0.91310000000000002</v>
      </c>
      <c r="M73" s="15"/>
      <c r="N73" s="12"/>
      <c r="O73" s="12"/>
      <c r="P73" s="12"/>
      <c r="Q73" s="157">
        <v>46086</v>
      </c>
      <c r="R73" s="11" t="s">
        <v>138</v>
      </c>
    </row>
    <row r="74" spans="1:18" ht="15" customHeight="1" x14ac:dyDescent="0.35">
      <c r="A74" s="10">
        <v>73</v>
      </c>
      <c r="B74" s="124" t="s">
        <v>136</v>
      </c>
      <c r="C74" s="10" t="str">
        <f t="shared" si="2"/>
        <v>10% BSG+70ppmE_Moisture_B_1</v>
      </c>
      <c r="D74" s="10" t="s">
        <v>16</v>
      </c>
      <c r="E74" s="10" t="s">
        <v>9</v>
      </c>
      <c r="F74" s="10">
        <v>1</v>
      </c>
      <c r="G74" s="80"/>
      <c r="H74" s="80"/>
      <c r="I74" s="80">
        <f>SUM(_xlfn.XLOOKUP(Table27[[#This Row],[Recipient number]],Extra_RecipientsWeight!A:A,Extra_RecipientsWeight!B:B)+H74)</f>
        <v>0</v>
      </c>
      <c r="J74" s="80"/>
      <c r="K74" s="39">
        <v>8.7400000000000005E-2</v>
      </c>
      <c r="L74" s="40">
        <f t="shared" si="3"/>
        <v>0.91259999999999997</v>
      </c>
      <c r="M74" s="15"/>
      <c r="N74" s="12"/>
      <c r="O74" s="12"/>
      <c r="P74" s="12"/>
      <c r="Q74" s="157">
        <v>46086</v>
      </c>
      <c r="R74" s="11" t="s">
        <v>138</v>
      </c>
    </row>
    <row r="75" spans="1:18" ht="15" customHeight="1" x14ac:dyDescent="0.35">
      <c r="A75" s="10">
        <v>74</v>
      </c>
      <c r="B75" s="124" t="s">
        <v>136</v>
      </c>
      <c r="C75" s="10" t="str">
        <f t="shared" si="2"/>
        <v>20% BSG+70ppmE_Moisture_B_1</v>
      </c>
      <c r="D75" s="10" t="s">
        <v>18</v>
      </c>
      <c r="E75" s="10" t="s">
        <v>9</v>
      </c>
      <c r="F75" s="10">
        <v>1</v>
      </c>
      <c r="G75" s="80"/>
      <c r="H75" s="80"/>
      <c r="I75" s="80">
        <f>SUM(_xlfn.XLOOKUP(Table27[[#This Row],[Recipient number]],Extra_RecipientsWeight!A:A,Extra_RecipientsWeight!B:B)+H75)</f>
        <v>0</v>
      </c>
      <c r="J75" s="80"/>
      <c r="K75" s="39">
        <v>8.6300000000000002E-2</v>
      </c>
      <c r="L75" s="40">
        <f t="shared" si="3"/>
        <v>0.91369999999999996</v>
      </c>
      <c r="M75" s="15"/>
      <c r="N75" s="12"/>
      <c r="O75" s="12"/>
      <c r="P75" s="12"/>
      <c r="Q75" s="157">
        <v>46086</v>
      </c>
      <c r="R75" s="11" t="s">
        <v>138</v>
      </c>
    </row>
    <row r="76" spans="1:18" ht="15" customHeight="1" x14ac:dyDescent="0.35">
      <c r="A76" s="10">
        <v>75</v>
      </c>
      <c r="B76" s="124" t="s">
        <v>136</v>
      </c>
      <c r="C76" s="10" t="str">
        <f t="shared" si="2"/>
        <v>10% BSG_fraction+70ppmE_Moisture_B_1</v>
      </c>
      <c r="D76" s="10" t="s">
        <v>20</v>
      </c>
      <c r="E76" s="10" t="s">
        <v>9</v>
      </c>
      <c r="F76" s="10">
        <v>1</v>
      </c>
      <c r="G76" s="80"/>
      <c r="H76" s="80"/>
      <c r="I76" s="80">
        <f>SUM(_xlfn.XLOOKUP(Table27[[#This Row],[Recipient number]],Extra_RecipientsWeight!A:A,Extra_RecipientsWeight!B:B)+H76)</f>
        <v>0</v>
      </c>
      <c r="J76" s="80"/>
      <c r="K76" s="39">
        <v>8.6599999999999996E-2</v>
      </c>
      <c r="L76" s="40">
        <f t="shared" si="3"/>
        <v>0.91339999999999999</v>
      </c>
      <c r="M76" s="15"/>
      <c r="N76" s="12"/>
      <c r="O76" s="12"/>
      <c r="P76" s="12"/>
      <c r="Q76" s="157">
        <v>46086</v>
      </c>
      <c r="R76" s="11" t="s">
        <v>138</v>
      </c>
    </row>
    <row r="77" spans="1:18" ht="15" customHeight="1" x14ac:dyDescent="0.35">
      <c r="A77" s="10">
        <v>76</v>
      </c>
      <c r="B77" s="124" t="s">
        <v>136</v>
      </c>
      <c r="C77" s="10" t="str">
        <f t="shared" si="2"/>
        <v>20% BSG_fraction+70ppmE_Moisture_B_1</v>
      </c>
      <c r="D77" s="10" t="s">
        <v>21</v>
      </c>
      <c r="E77" s="10" t="s">
        <v>9</v>
      </c>
      <c r="F77" s="10">
        <v>1</v>
      </c>
      <c r="G77" s="80"/>
      <c r="H77" s="80"/>
      <c r="I77" s="80">
        <f>SUM(_xlfn.XLOOKUP(Table27[[#This Row],[Recipient number]],Extra_RecipientsWeight!A:A,Extra_RecipientsWeight!B:B)+H77)</f>
        <v>0</v>
      </c>
      <c r="J77" s="80"/>
      <c r="K77" s="39">
        <v>8.4900000000000003E-2</v>
      </c>
      <c r="L77" s="40">
        <f t="shared" si="3"/>
        <v>0.91510000000000002</v>
      </c>
      <c r="M77" s="15"/>
      <c r="N77" s="12"/>
      <c r="O77" s="12"/>
      <c r="P77" s="12"/>
      <c r="Q77" s="157">
        <v>46086</v>
      </c>
      <c r="R77" s="11" t="s">
        <v>138</v>
      </c>
    </row>
    <row r="78" spans="1:18" ht="15" customHeight="1" x14ac:dyDescent="0.35">
      <c r="A78" s="10">
        <v>77</v>
      </c>
      <c r="B78" s="124" t="s">
        <v>136</v>
      </c>
      <c r="C78" s="10" t="str">
        <f t="shared" si="2"/>
        <v>10% BSG+140ppmE_Moisture_B_1</v>
      </c>
      <c r="D78" s="10" t="s">
        <v>22</v>
      </c>
      <c r="E78" s="10" t="s">
        <v>9</v>
      </c>
      <c r="F78" s="10">
        <v>1</v>
      </c>
      <c r="G78" s="80"/>
      <c r="H78" s="80"/>
      <c r="I78" s="80">
        <f>SUM(_xlfn.XLOOKUP(Table27[[#This Row],[Recipient number]],Extra_RecipientsWeight!A:A,Extra_RecipientsWeight!B:B)+H78)</f>
        <v>0</v>
      </c>
      <c r="J78" s="80"/>
      <c r="K78" s="39">
        <v>8.5699999999999998E-2</v>
      </c>
      <c r="L78" s="40">
        <f t="shared" si="3"/>
        <v>0.9143</v>
      </c>
      <c r="M78" s="15"/>
      <c r="N78" s="12"/>
      <c r="O78" s="12"/>
      <c r="P78" s="12"/>
      <c r="Q78" s="157">
        <v>46086</v>
      </c>
      <c r="R78" s="11" t="s">
        <v>138</v>
      </c>
    </row>
    <row r="79" spans="1:18" ht="15" customHeight="1" x14ac:dyDescent="0.35">
      <c r="A79" s="10">
        <v>78</v>
      </c>
      <c r="B79" s="124" t="s">
        <v>136</v>
      </c>
      <c r="C79" s="10" t="str">
        <f t="shared" si="2"/>
        <v>20% BSG+140ppmE_Moisture_B_1</v>
      </c>
      <c r="D79" s="10" t="s">
        <v>23</v>
      </c>
      <c r="E79" s="10" t="s">
        <v>9</v>
      </c>
      <c r="F79" s="10">
        <v>1</v>
      </c>
      <c r="G79" s="80"/>
      <c r="H79" s="80"/>
      <c r="I79" s="80">
        <f>SUM(_xlfn.XLOOKUP(Table27[[#This Row],[Recipient number]],Extra_RecipientsWeight!A:A,Extra_RecipientsWeight!B:B)+H79)</f>
        <v>0</v>
      </c>
      <c r="J79" s="80"/>
      <c r="K79" s="39">
        <v>8.5199999999999998E-2</v>
      </c>
      <c r="L79" s="40">
        <f t="shared" si="3"/>
        <v>0.91480000000000006</v>
      </c>
      <c r="M79" s="15"/>
      <c r="N79" s="12"/>
      <c r="O79" s="12"/>
      <c r="P79" s="12"/>
      <c r="Q79" s="157">
        <v>46086</v>
      </c>
      <c r="R79" s="11" t="s">
        <v>138</v>
      </c>
    </row>
    <row r="80" spans="1:18" ht="15" customHeight="1" x14ac:dyDescent="0.35">
      <c r="A80" s="10">
        <v>79</v>
      </c>
      <c r="B80" s="124" t="s">
        <v>136</v>
      </c>
      <c r="C80" s="10" t="str">
        <f t="shared" si="2"/>
        <v>10% BSG_fraction+140ppmE_Moisture_B_1</v>
      </c>
      <c r="D80" s="10" t="s">
        <v>26</v>
      </c>
      <c r="E80" s="10" t="s">
        <v>9</v>
      </c>
      <c r="F80" s="10">
        <v>1</v>
      </c>
      <c r="G80" s="80"/>
      <c r="H80" s="80"/>
      <c r="I80" s="80">
        <f>SUM(_xlfn.XLOOKUP(Table27[[#This Row],[Recipient number]],Extra_RecipientsWeight!A:A,Extra_RecipientsWeight!B:B)+H80)</f>
        <v>0</v>
      </c>
      <c r="J80" s="80"/>
      <c r="K80" s="39">
        <v>8.6599999999999996E-2</v>
      </c>
      <c r="L80" s="40">
        <f t="shared" si="3"/>
        <v>0.91339999999999999</v>
      </c>
      <c r="M80" s="15"/>
      <c r="N80" s="12"/>
      <c r="O80" s="12"/>
      <c r="P80" s="12"/>
      <c r="Q80" s="157">
        <v>46086</v>
      </c>
      <c r="R80" s="11" t="s">
        <v>138</v>
      </c>
    </row>
    <row r="81" spans="1:18" ht="15" customHeight="1" x14ac:dyDescent="0.35">
      <c r="A81" s="10">
        <v>80</v>
      </c>
      <c r="B81" s="124" t="s">
        <v>136</v>
      </c>
      <c r="C81" s="10" t="str">
        <f t="shared" si="2"/>
        <v>20% BSG_fraction+140ppmE_Moisture_B_1</v>
      </c>
      <c r="D81" s="10" t="s">
        <v>27</v>
      </c>
      <c r="E81" s="10" t="s">
        <v>9</v>
      </c>
      <c r="F81" s="10">
        <v>1</v>
      </c>
      <c r="G81" s="80"/>
      <c r="H81" s="80"/>
      <c r="I81" s="80">
        <f>SUM(_xlfn.XLOOKUP(Table27[[#This Row],[Recipient number]],Extra_RecipientsWeight!A:A,Extra_RecipientsWeight!B:B)+H81)</f>
        <v>0</v>
      </c>
      <c r="J81" s="80"/>
      <c r="K81" s="39">
        <v>8.3500000000000005E-2</v>
      </c>
      <c r="L81" s="40">
        <f t="shared" si="3"/>
        <v>0.91649999999999998</v>
      </c>
      <c r="M81" s="15"/>
      <c r="N81" s="12"/>
      <c r="O81" s="12"/>
      <c r="P81" s="12"/>
      <c r="Q81" s="157">
        <v>46086</v>
      </c>
      <c r="R81" s="11" t="s">
        <v>138</v>
      </c>
    </row>
    <row r="82" spans="1:18" ht="15" customHeight="1" x14ac:dyDescent="0.35">
      <c r="A82" s="10">
        <v>81</v>
      </c>
      <c r="B82" s="124" t="s">
        <v>136</v>
      </c>
      <c r="C82" s="10" t="str">
        <f t="shared" si="2"/>
        <v>Flour_Protein_B_1</v>
      </c>
      <c r="D82" s="10" t="s">
        <v>10</v>
      </c>
      <c r="E82" s="10" t="s">
        <v>19</v>
      </c>
      <c r="F82" s="10">
        <v>1</v>
      </c>
      <c r="G82" s="15"/>
      <c r="H82" s="80"/>
      <c r="I82" s="152">
        <f>Table27[[#This Row],[Sample Weight (g)]]</f>
        <v>0</v>
      </c>
      <c r="J82" s="15"/>
      <c r="K82" s="15"/>
      <c r="L82" s="42"/>
      <c r="M82" s="35" t="s">
        <v>47</v>
      </c>
      <c r="N82" s="146"/>
      <c r="O82" s="155">
        <v>0.10970000000000001</v>
      </c>
      <c r="P82" s="42"/>
      <c r="Q82" s="157">
        <v>46086</v>
      </c>
      <c r="R82" s="11" t="s">
        <v>137</v>
      </c>
    </row>
    <row r="83" spans="1:18" ht="15" customHeight="1" x14ac:dyDescent="0.35">
      <c r="A83" s="10">
        <v>82</v>
      </c>
      <c r="B83" s="124" t="s">
        <v>136</v>
      </c>
      <c r="C83" s="10" t="str">
        <f t="shared" si="2"/>
        <v>Flour_Protein_B_2</v>
      </c>
      <c r="D83" s="10" t="s">
        <v>10</v>
      </c>
      <c r="E83" s="10" t="s">
        <v>19</v>
      </c>
      <c r="F83" s="10">
        <v>2</v>
      </c>
      <c r="G83" s="15"/>
      <c r="H83" s="80"/>
      <c r="I83" s="152">
        <f>Table27[[#This Row],[Sample Weight (g)]]</f>
        <v>0</v>
      </c>
      <c r="J83" s="15"/>
      <c r="K83" s="15"/>
      <c r="L83" s="42"/>
      <c r="M83" s="35" t="s">
        <v>47</v>
      </c>
      <c r="N83" s="146"/>
      <c r="O83" s="155">
        <v>0.10529999999999999</v>
      </c>
      <c r="P83" s="42"/>
      <c r="Q83" s="157">
        <v>46086</v>
      </c>
      <c r="R83" s="11" t="s">
        <v>137</v>
      </c>
    </row>
    <row r="84" spans="1:18" ht="15" customHeight="1" x14ac:dyDescent="0.35">
      <c r="A84" s="10">
        <v>83</v>
      </c>
      <c r="B84" s="124" t="s">
        <v>136</v>
      </c>
      <c r="C84" s="10" t="str">
        <f t="shared" si="2"/>
        <v>10% BSG+70ppmE_Protein_B_1</v>
      </c>
      <c r="D84" s="10" t="s">
        <v>16</v>
      </c>
      <c r="E84" s="10" t="s">
        <v>19</v>
      </c>
      <c r="F84" s="10">
        <v>1</v>
      </c>
      <c r="G84" s="15"/>
      <c r="H84" s="80"/>
      <c r="I84" s="152">
        <f>Table27[[#This Row],[Sample Weight (g)]]</f>
        <v>0</v>
      </c>
      <c r="J84" s="15"/>
      <c r="K84" s="15"/>
      <c r="L84" s="42"/>
      <c r="M84" s="35" t="s">
        <v>47</v>
      </c>
      <c r="N84" s="146"/>
      <c r="O84" s="155">
        <v>0.11220000000000001</v>
      </c>
      <c r="P84" s="42"/>
      <c r="Q84" s="157">
        <v>46086</v>
      </c>
      <c r="R84" s="11" t="s">
        <v>137</v>
      </c>
    </row>
    <row r="85" spans="1:18" ht="15" customHeight="1" x14ac:dyDescent="0.35">
      <c r="A85" s="10">
        <v>84</v>
      </c>
      <c r="B85" s="124" t="s">
        <v>136</v>
      </c>
      <c r="C85" s="10" t="str">
        <f t="shared" si="2"/>
        <v>10% BSG+70ppmE_Protein_B_2</v>
      </c>
      <c r="D85" s="10" t="s">
        <v>16</v>
      </c>
      <c r="E85" s="10" t="s">
        <v>19</v>
      </c>
      <c r="F85" s="10">
        <v>2</v>
      </c>
      <c r="G85" s="15"/>
      <c r="H85" s="80"/>
      <c r="I85" s="152">
        <f>Table27[[#This Row],[Sample Weight (g)]]</f>
        <v>0</v>
      </c>
      <c r="J85" s="15"/>
      <c r="K85" s="15"/>
      <c r="L85" s="42"/>
      <c r="M85" s="35" t="s">
        <v>47</v>
      </c>
      <c r="N85" s="146"/>
      <c r="O85" s="155">
        <v>0.1091</v>
      </c>
      <c r="P85" s="42"/>
      <c r="Q85" s="157">
        <v>46086</v>
      </c>
      <c r="R85" s="11" t="s">
        <v>137</v>
      </c>
    </row>
    <row r="86" spans="1:18" ht="15" customHeight="1" x14ac:dyDescent="0.35">
      <c r="A86" s="10">
        <v>85</v>
      </c>
      <c r="B86" s="124" t="s">
        <v>136</v>
      </c>
      <c r="C86" s="10" t="str">
        <f t="shared" si="2"/>
        <v>20% BSG+70ppmE_Protein_B_1</v>
      </c>
      <c r="D86" s="10" t="s">
        <v>18</v>
      </c>
      <c r="E86" s="10" t="s">
        <v>19</v>
      </c>
      <c r="F86" s="10">
        <v>1</v>
      </c>
      <c r="G86" s="15"/>
      <c r="H86" s="80"/>
      <c r="I86" s="152">
        <f>Table27[[#This Row],[Sample Weight (g)]]</f>
        <v>0</v>
      </c>
      <c r="J86" s="15"/>
      <c r="K86" s="15"/>
      <c r="L86" s="42"/>
      <c r="M86" s="35" t="s">
        <v>47</v>
      </c>
      <c r="N86" s="146"/>
      <c r="O86" s="155">
        <v>0.11449999999999999</v>
      </c>
      <c r="P86" s="42"/>
      <c r="Q86" s="157">
        <v>46086</v>
      </c>
      <c r="R86" s="11" t="s">
        <v>137</v>
      </c>
    </row>
    <row r="87" spans="1:18" ht="15" customHeight="1" x14ac:dyDescent="0.35">
      <c r="A87" s="10">
        <v>86</v>
      </c>
      <c r="B87" s="124" t="s">
        <v>136</v>
      </c>
      <c r="C87" s="10" t="str">
        <f t="shared" si="2"/>
        <v>20% BSG+70ppmE_Protein_B_2</v>
      </c>
      <c r="D87" s="10" t="s">
        <v>18</v>
      </c>
      <c r="E87" s="10" t="s">
        <v>19</v>
      </c>
      <c r="F87" s="10">
        <v>2</v>
      </c>
      <c r="G87" s="15"/>
      <c r="H87" s="80"/>
      <c r="I87" s="152">
        <f>Table27[[#This Row],[Sample Weight (g)]]</f>
        <v>0</v>
      </c>
      <c r="J87" s="15"/>
      <c r="K87" s="15"/>
      <c r="L87" s="42"/>
      <c r="M87" s="35" t="s">
        <v>47</v>
      </c>
      <c r="N87" s="146"/>
      <c r="O87" s="155">
        <v>0.11359999999999999</v>
      </c>
      <c r="P87" s="42"/>
      <c r="Q87" s="157">
        <v>46086</v>
      </c>
      <c r="R87" s="11" t="s">
        <v>137</v>
      </c>
    </row>
    <row r="88" spans="1:18" ht="15" customHeight="1" x14ac:dyDescent="0.35">
      <c r="A88" s="10">
        <v>87</v>
      </c>
      <c r="B88" s="124" t="s">
        <v>136</v>
      </c>
      <c r="C88" s="10" t="str">
        <f t="shared" si="2"/>
        <v>10% BSG_fraction+70ppmE_Protein_B_1</v>
      </c>
      <c r="D88" s="10" t="s">
        <v>20</v>
      </c>
      <c r="E88" s="10" t="s">
        <v>19</v>
      </c>
      <c r="F88" s="10">
        <v>1</v>
      </c>
      <c r="G88" s="15"/>
      <c r="H88" s="80"/>
      <c r="I88" s="152">
        <f>Table27[[#This Row],[Sample Weight (g)]]</f>
        <v>0</v>
      </c>
      <c r="J88" s="15"/>
      <c r="K88" s="15"/>
      <c r="L88" s="42"/>
      <c r="M88" s="35" t="s">
        <v>47</v>
      </c>
      <c r="N88" s="146"/>
      <c r="O88" s="155">
        <v>0.11460000000000001</v>
      </c>
      <c r="P88" s="42"/>
      <c r="Q88" s="157">
        <v>46086</v>
      </c>
      <c r="R88" s="11" t="s">
        <v>137</v>
      </c>
    </row>
    <row r="89" spans="1:18" ht="15" customHeight="1" x14ac:dyDescent="0.35">
      <c r="A89" s="10">
        <v>88</v>
      </c>
      <c r="B89" s="124" t="s">
        <v>136</v>
      </c>
      <c r="C89" s="10" t="str">
        <f t="shared" si="2"/>
        <v>10% BSG_fraction+70ppmE_Protein_B_2</v>
      </c>
      <c r="D89" s="10" t="s">
        <v>20</v>
      </c>
      <c r="E89" s="10" t="s">
        <v>19</v>
      </c>
      <c r="F89" s="10">
        <v>2</v>
      </c>
      <c r="G89" s="15"/>
      <c r="H89" s="80"/>
      <c r="I89" s="152">
        <f>Table27[[#This Row],[Sample Weight (g)]]</f>
        <v>0</v>
      </c>
      <c r="J89" s="15"/>
      <c r="K89" s="15"/>
      <c r="L89" s="42"/>
      <c r="M89" s="35" t="s">
        <v>47</v>
      </c>
      <c r="N89" s="146"/>
      <c r="O89" s="155">
        <v>0.1303</v>
      </c>
      <c r="P89" s="42"/>
      <c r="Q89" s="157">
        <v>46086</v>
      </c>
      <c r="R89" s="11" t="s">
        <v>137</v>
      </c>
    </row>
    <row r="90" spans="1:18" ht="15" customHeight="1" x14ac:dyDescent="0.35">
      <c r="A90" s="10">
        <v>89</v>
      </c>
      <c r="B90" s="124" t="s">
        <v>136</v>
      </c>
      <c r="C90" s="10" t="str">
        <f t="shared" si="2"/>
        <v>20% BSG_fraction+70ppmE_Protein_B_1</v>
      </c>
      <c r="D90" s="10" t="s">
        <v>21</v>
      </c>
      <c r="E90" s="10" t="s">
        <v>19</v>
      </c>
      <c r="F90" s="10">
        <v>1</v>
      </c>
      <c r="G90" s="15"/>
      <c r="H90" s="80"/>
      <c r="I90" s="152">
        <f>Table27[[#This Row],[Sample Weight (g)]]</f>
        <v>0</v>
      </c>
      <c r="J90" s="15"/>
      <c r="K90" s="15"/>
      <c r="L90" s="42"/>
      <c r="M90" s="35" t="s">
        <v>47</v>
      </c>
      <c r="N90" s="146"/>
      <c r="O90" s="155">
        <v>0.14219999999999999</v>
      </c>
      <c r="P90" s="42"/>
      <c r="Q90" s="157">
        <v>46086</v>
      </c>
      <c r="R90" s="11" t="s">
        <v>137</v>
      </c>
    </row>
    <row r="91" spans="1:18" ht="15" customHeight="1" x14ac:dyDescent="0.35">
      <c r="A91" s="10">
        <v>90</v>
      </c>
      <c r="B91" s="124" t="s">
        <v>136</v>
      </c>
      <c r="C91" s="10" t="str">
        <f t="shared" si="2"/>
        <v>20% BSG_fraction+70ppmE_Protein_B_2</v>
      </c>
      <c r="D91" s="10" t="s">
        <v>21</v>
      </c>
      <c r="E91" s="10" t="s">
        <v>19</v>
      </c>
      <c r="F91" s="10">
        <v>2</v>
      </c>
      <c r="G91" s="15"/>
      <c r="H91" s="80"/>
      <c r="I91" s="152">
        <f>Table27[[#This Row],[Sample Weight (g)]]</f>
        <v>0</v>
      </c>
      <c r="J91" s="15"/>
      <c r="K91" s="15"/>
      <c r="L91" s="42"/>
      <c r="M91" s="35" t="s">
        <v>47</v>
      </c>
      <c r="N91" s="146"/>
      <c r="O91" s="155">
        <v>0.14779999999999999</v>
      </c>
      <c r="P91" s="42"/>
      <c r="Q91" s="157">
        <v>46086</v>
      </c>
      <c r="R91" s="11" t="s">
        <v>137</v>
      </c>
    </row>
    <row r="92" spans="1:18" ht="15" customHeight="1" x14ac:dyDescent="0.35">
      <c r="A92" s="10">
        <v>91</v>
      </c>
      <c r="B92" s="124" t="s">
        <v>136</v>
      </c>
      <c r="C92" s="10" t="str">
        <f t="shared" si="2"/>
        <v>10% BSG+140ppmE_Protein_B_1</v>
      </c>
      <c r="D92" s="10" t="s">
        <v>22</v>
      </c>
      <c r="E92" s="10" t="s">
        <v>19</v>
      </c>
      <c r="F92" s="10">
        <v>1</v>
      </c>
      <c r="G92" s="15"/>
      <c r="H92" s="80"/>
      <c r="I92" s="152">
        <f>Table27[[#This Row],[Sample Weight (g)]]</f>
        <v>0</v>
      </c>
      <c r="J92" s="15"/>
      <c r="K92" s="15"/>
      <c r="L92" s="42"/>
      <c r="M92" s="35" t="s">
        <v>47</v>
      </c>
      <c r="N92" s="146"/>
      <c r="O92" s="155">
        <v>0.1231</v>
      </c>
      <c r="P92" s="42"/>
      <c r="Q92" s="157">
        <v>46086</v>
      </c>
      <c r="R92" s="11" t="s">
        <v>137</v>
      </c>
    </row>
    <row r="93" spans="1:18" ht="15" customHeight="1" x14ac:dyDescent="0.35">
      <c r="A93" s="10">
        <v>92</v>
      </c>
      <c r="B93" s="124" t="s">
        <v>136</v>
      </c>
      <c r="C93" s="10" t="str">
        <f t="shared" si="2"/>
        <v>10% BSG+140ppmE_Protein_B_2</v>
      </c>
      <c r="D93" s="10" t="s">
        <v>22</v>
      </c>
      <c r="E93" s="10" t="s">
        <v>19</v>
      </c>
      <c r="F93" s="10">
        <v>2</v>
      </c>
      <c r="G93" s="15"/>
      <c r="H93" s="80"/>
      <c r="I93" s="152">
        <f>Table27[[#This Row],[Sample Weight (g)]]</f>
        <v>0</v>
      </c>
      <c r="J93" s="15"/>
      <c r="K93" s="15"/>
      <c r="L93" s="42"/>
      <c r="M93" s="35" t="s">
        <v>47</v>
      </c>
      <c r="N93" s="146"/>
      <c r="O93" s="155">
        <v>0.12210000000000001</v>
      </c>
      <c r="P93" s="42"/>
      <c r="Q93" s="157">
        <v>46086</v>
      </c>
      <c r="R93" s="11" t="s">
        <v>137</v>
      </c>
    </row>
    <row r="94" spans="1:18" ht="15" customHeight="1" x14ac:dyDescent="0.35">
      <c r="A94" s="10">
        <v>93</v>
      </c>
      <c r="B94" s="124" t="s">
        <v>136</v>
      </c>
      <c r="C94" s="10" t="str">
        <f t="shared" si="2"/>
        <v>20% BSG+140ppmE_Protein_B_1</v>
      </c>
      <c r="D94" s="10" t="s">
        <v>23</v>
      </c>
      <c r="E94" s="10" t="s">
        <v>19</v>
      </c>
      <c r="F94" s="10">
        <v>1</v>
      </c>
      <c r="G94" s="15"/>
      <c r="H94" s="80"/>
      <c r="I94" s="152">
        <f>Table27[[#This Row],[Sample Weight (g)]]</f>
        <v>0</v>
      </c>
      <c r="J94" s="15"/>
      <c r="K94" s="15"/>
      <c r="L94" s="42"/>
      <c r="M94" s="35" t="s">
        <v>47</v>
      </c>
      <c r="N94" s="146"/>
      <c r="O94" s="155">
        <v>0.1396</v>
      </c>
      <c r="P94" s="42"/>
      <c r="Q94" s="157">
        <v>46086</v>
      </c>
      <c r="R94" s="11" t="s">
        <v>137</v>
      </c>
    </row>
    <row r="95" spans="1:18" ht="15" customHeight="1" x14ac:dyDescent="0.35">
      <c r="A95" s="10">
        <v>94</v>
      </c>
      <c r="B95" s="124" t="s">
        <v>136</v>
      </c>
      <c r="C95" s="10" t="str">
        <f t="shared" si="2"/>
        <v>20% BSG+140ppmE_Protein_B_2</v>
      </c>
      <c r="D95" s="10" t="s">
        <v>23</v>
      </c>
      <c r="E95" s="10" t="s">
        <v>19</v>
      </c>
      <c r="F95" s="10">
        <v>2</v>
      </c>
      <c r="G95" s="15"/>
      <c r="H95" s="80"/>
      <c r="I95" s="152">
        <f>Table27[[#This Row],[Sample Weight (g)]]</f>
        <v>0</v>
      </c>
      <c r="J95" s="15"/>
      <c r="K95" s="15"/>
      <c r="L95" s="42"/>
      <c r="M95" s="35" t="s">
        <v>47</v>
      </c>
      <c r="N95" s="146"/>
      <c r="O95" s="155">
        <v>0.13170000000000001</v>
      </c>
      <c r="P95" s="42"/>
      <c r="Q95" s="157">
        <v>46086</v>
      </c>
      <c r="R95" s="11" t="s">
        <v>137</v>
      </c>
    </row>
    <row r="96" spans="1:18" ht="15" customHeight="1" x14ac:dyDescent="0.35">
      <c r="A96" s="10">
        <v>95</v>
      </c>
      <c r="B96" s="124" t="s">
        <v>136</v>
      </c>
      <c r="C96" s="10" t="str">
        <f t="shared" si="2"/>
        <v>10% BSG_fraction+140ppmE_Protein_B_1</v>
      </c>
      <c r="D96" s="10" t="s">
        <v>26</v>
      </c>
      <c r="E96" s="10" t="s">
        <v>19</v>
      </c>
      <c r="F96" s="10">
        <v>1</v>
      </c>
      <c r="G96" s="15"/>
      <c r="H96" s="80"/>
      <c r="I96" s="152">
        <f>Table27[[#This Row],[Sample Weight (g)]]</f>
        <v>0</v>
      </c>
      <c r="J96" s="15"/>
      <c r="K96" s="15"/>
      <c r="L96" s="42"/>
      <c r="M96" s="35" t="s">
        <v>47</v>
      </c>
      <c r="N96" s="146"/>
      <c r="O96" s="155">
        <v>0.13350000000000001</v>
      </c>
      <c r="P96" s="42"/>
      <c r="Q96" s="157">
        <v>46086</v>
      </c>
      <c r="R96" s="11" t="s">
        <v>137</v>
      </c>
    </row>
    <row r="97" spans="1:18" ht="15" customHeight="1" x14ac:dyDescent="0.35">
      <c r="A97" s="10">
        <v>96</v>
      </c>
      <c r="B97" s="124" t="s">
        <v>136</v>
      </c>
      <c r="C97" s="10" t="str">
        <f t="shared" si="2"/>
        <v>10% BSG_fraction+140ppmE_Protein_B_2</v>
      </c>
      <c r="D97" s="10" t="s">
        <v>26</v>
      </c>
      <c r="E97" s="10" t="s">
        <v>19</v>
      </c>
      <c r="F97" s="10">
        <v>2</v>
      </c>
      <c r="G97" s="15"/>
      <c r="H97" s="80"/>
      <c r="I97" s="152">
        <f>Table27[[#This Row],[Sample Weight (g)]]</f>
        <v>0</v>
      </c>
      <c r="J97" s="15"/>
      <c r="K97" s="15"/>
      <c r="L97" s="42"/>
      <c r="M97" s="35" t="s">
        <v>47</v>
      </c>
      <c r="N97" s="146"/>
      <c r="O97" s="155">
        <v>0.13239999999999999</v>
      </c>
      <c r="P97" s="42"/>
      <c r="Q97" s="157">
        <v>46086</v>
      </c>
      <c r="R97" s="11" t="s">
        <v>137</v>
      </c>
    </row>
    <row r="98" spans="1:18" ht="15" customHeight="1" x14ac:dyDescent="0.35">
      <c r="A98" s="10">
        <v>97</v>
      </c>
      <c r="B98" s="124" t="s">
        <v>136</v>
      </c>
      <c r="C98" s="10" t="str">
        <f t="shared" ref="C98:C129" si="4">_xlfn.CONCAT(D98,"_",E98,"_",B98,"_",F98)</f>
        <v>20% BSG_fraction+140ppmE_Protein_B_1</v>
      </c>
      <c r="D98" s="10" t="s">
        <v>27</v>
      </c>
      <c r="E98" s="10" t="s">
        <v>19</v>
      </c>
      <c r="F98" s="10">
        <v>1</v>
      </c>
      <c r="G98" s="15"/>
      <c r="H98" s="80"/>
      <c r="I98" s="152">
        <f>Table27[[#This Row],[Sample Weight (g)]]</f>
        <v>0</v>
      </c>
      <c r="J98" s="15"/>
      <c r="K98" s="15"/>
      <c r="L98" s="42"/>
      <c r="M98" s="35" t="s">
        <v>47</v>
      </c>
      <c r="N98" s="146"/>
      <c r="O98" s="155">
        <v>0.1371</v>
      </c>
      <c r="P98" s="42"/>
      <c r="Q98" s="157">
        <v>46086</v>
      </c>
      <c r="R98" s="11" t="s">
        <v>137</v>
      </c>
    </row>
    <row r="99" spans="1:18" ht="15" customHeight="1" x14ac:dyDescent="0.35">
      <c r="A99" s="10">
        <v>98</v>
      </c>
      <c r="B99" s="124" t="s">
        <v>136</v>
      </c>
      <c r="C99" s="10" t="str">
        <f t="shared" si="4"/>
        <v>20% BSG_fraction+140ppmE_Protein_B_2</v>
      </c>
      <c r="D99" s="10" t="s">
        <v>27</v>
      </c>
      <c r="E99" s="10" t="s">
        <v>19</v>
      </c>
      <c r="F99" s="10">
        <v>2</v>
      </c>
      <c r="G99" s="15"/>
      <c r="H99" s="80"/>
      <c r="I99" s="152">
        <f>Table27[[#This Row],[Sample Weight (g)]]</f>
        <v>0</v>
      </c>
      <c r="J99" s="15"/>
      <c r="K99" s="15"/>
      <c r="L99" s="42"/>
      <c r="M99" s="35" t="s">
        <v>47</v>
      </c>
      <c r="N99" s="146"/>
      <c r="O99" s="155">
        <v>0.13730000000000001</v>
      </c>
      <c r="P99" s="42"/>
      <c r="Q99" s="157">
        <v>46086</v>
      </c>
      <c r="R99" s="11" t="s">
        <v>137</v>
      </c>
    </row>
  </sheetData>
  <phoneticPr fontId="3"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B6AE-623E-41E7-BC20-A6DF36C62745}">
  <dimension ref="A1:O114"/>
  <sheetViews>
    <sheetView topLeftCell="B1" workbookViewId="0">
      <selection activeCell="O44" sqref="O44:O114"/>
    </sheetView>
  </sheetViews>
  <sheetFormatPr defaultRowHeight="15" customHeight="1" x14ac:dyDescent="0.35"/>
  <cols>
    <col min="2" max="2" width="26.453125" customWidth="1"/>
    <col min="3" max="3" width="9.26953125" customWidth="1"/>
    <col min="4" max="4" width="10.1796875" customWidth="1"/>
    <col min="5" max="5" width="8.81640625" customWidth="1"/>
  </cols>
  <sheetData>
    <row r="1" spans="1:15" ht="40.5" customHeight="1" x14ac:dyDescent="0.35">
      <c r="A1" s="229" t="s">
        <v>113</v>
      </c>
      <c r="B1" s="59" t="s">
        <v>114</v>
      </c>
      <c r="C1" s="79" t="s">
        <v>7</v>
      </c>
      <c r="D1" s="227" t="s">
        <v>115</v>
      </c>
      <c r="E1" s="232"/>
      <c r="F1" s="227" t="s">
        <v>116</v>
      </c>
      <c r="G1" s="232"/>
      <c r="H1" s="227" t="s">
        <v>117</v>
      </c>
      <c r="I1" s="232"/>
      <c r="J1" s="227" t="s">
        <v>118</v>
      </c>
      <c r="K1" s="232"/>
      <c r="L1" s="227" t="s">
        <v>119</v>
      </c>
      <c r="M1" s="228"/>
      <c r="N1" s="53" t="s">
        <v>120</v>
      </c>
      <c r="O1" t="s">
        <v>45</v>
      </c>
    </row>
    <row r="2" spans="1:15" ht="29.25" customHeight="1" x14ac:dyDescent="0.35">
      <c r="A2" s="231"/>
      <c r="B2" s="52"/>
      <c r="C2" s="52"/>
      <c r="D2" s="50" t="s">
        <v>121</v>
      </c>
      <c r="E2" s="50" t="s">
        <v>122</v>
      </c>
      <c r="F2" s="50" t="s">
        <v>121</v>
      </c>
      <c r="G2" s="50" t="s">
        <v>122</v>
      </c>
      <c r="H2" s="50" t="s">
        <v>121</v>
      </c>
      <c r="I2" s="50" t="s">
        <v>122</v>
      </c>
      <c r="J2" s="50" t="s">
        <v>121</v>
      </c>
      <c r="K2" s="50" t="s">
        <v>122</v>
      </c>
      <c r="L2" s="50" t="s">
        <v>121</v>
      </c>
      <c r="M2" s="56" t="s">
        <v>122</v>
      </c>
      <c r="N2" s="54" t="s">
        <v>121</v>
      </c>
    </row>
    <row r="3" spans="1:15" ht="14.5" x14ac:dyDescent="0.35">
      <c r="A3" s="229">
        <v>1</v>
      </c>
      <c r="B3" s="48" t="s">
        <v>10</v>
      </c>
      <c r="C3" s="104">
        <v>1</v>
      </c>
      <c r="D3" s="51">
        <v>4.5</v>
      </c>
      <c r="E3" s="51">
        <v>1</v>
      </c>
      <c r="F3" s="51">
        <v>4.5</v>
      </c>
      <c r="G3" s="51">
        <v>2</v>
      </c>
      <c r="H3" s="51">
        <v>4.5</v>
      </c>
      <c r="I3" s="51">
        <v>4</v>
      </c>
      <c r="J3" s="51">
        <v>5</v>
      </c>
      <c r="K3" s="51">
        <v>4</v>
      </c>
      <c r="L3" s="51">
        <v>5</v>
      </c>
      <c r="M3" s="57">
        <v>9</v>
      </c>
      <c r="N3" s="55">
        <f>D3*E3+F3*G3+H3*I3+J3*K3+L3*M3</f>
        <v>96.5</v>
      </c>
      <c r="O3" t="s">
        <v>133</v>
      </c>
    </row>
    <row r="4" spans="1:15" ht="14.5" x14ac:dyDescent="0.35">
      <c r="A4" s="230"/>
      <c r="B4" s="75" t="s">
        <v>12</v>
      </c>
      <c r="C4" s="105">
        <v>1</v>
      </c>
      <c r="D4" s="49">
        <v>4</v>
      </c>
      <c r="E4" s="49">
        <v>1</v>
      </c>
      <c r="F4" s="49">
        <v>4.5</v>
      </c>
      <c r="G4" s="49">
        <v>2</v>
      </c>
      <c r="H4" s="49">
        <v>4.5</v>
      </c>
      <c r="I4" s="49">
        <v>4</v>
      </c>
      <c r="J4" s="49">
        <v>4.5</v>
      </c>
      <c r="K4" s="49">
        <v>4</v>
      </c>
      <c r="L4" s="49">
        <v>3.5</v>
      </c>
      <c r="M4" s="58">
        <v>9</v>
      </c>
      <c r="N4" s="60">
        <f t="shared" ref="N4:N44" si="0">D4*E4+F4*G4+H4*I4+J4*K4+L4*M4</f>
        <v>80.5</v>
      </c>
      <c r="O4" t="s">
        <v>133</v>
      </c>
    </row>
    <row r="5" spans="1:15" ht="14.5" x14ac:dyDescent="0.35">
      <c r="A5" s="230"/>
      <c r="B5" s="95" t="s">
        <v>14</v>
      </c>
      <c r="C5" s="105">
        <v>1</v>
      </c>
      <c r="D5" s="49">
        <v>2.5</v>
      </c>
      <c r="E5" s="49">
        <v>1</v>
      </c>
      <c r="F5" s="49">
        <v>2.5</v>
      </c>
      <c r="G5" s="49">
        <v>2</v>
      </c>
      <c r="H5" s="49">
        <v>2</v>
      </c>
      <c r="I5" s="49">
        <v>4</v>
      </c>
      <c r="J5" s="49">
        <v>4</v>
      </c>
      <c r="K5" s="49">
        <v>4</v>
      </c>
      <c r="L5" s="49">
        <v>3</v>
      </c>
      <c r="M5" s="58">
        <v>9</v>
      </c>
      <c r="N5" s="60">
        <f t="shared" si="0"/>
        <v>58.5</v>
      </c>
      <c r="O5" t="s">
        <v>133</v>
      </c>
    </row>
    <row r="6" spans="1:15" ht="14.5" x14ac:dyDescent="0.35">
      <c r="A6" s="230"/>
      <c r="B6" s="75" t="s">
        <v>16</v>
      </c>
      <c r="C6" s="105">
        <v>1</v>
      </c>
      <c r="D6" s="49">
        <v>4</v>
      </c>
      <c r="E6" s="49">
        <v>1</v>
      </c>
      <c r="F6" s="49">
        <v>4</v>
      </c>
      <c r="G6" s="49">
        <v>2</v>
      </c>
      <c r="H6" s="49">
        <v>3.5</v>
      </c>
      <c r="I6" s="49">
        <v>4</v>
      </c>
      <c r="J6" s="49">
        <v>5</v>
      </c>
      <c r="K6" s="49">
        <v>4</v>
      </c>
      <c r="L6" s="49">
        <v>2.5</v>
      </c>
      <c r="M6" s="58">
        <v>9</v>
      </c>
      <c r="N6" s="60">
        <f t="shared" si="0"/>
        <v>68.5</v>
      </c>
      <c r="O6" t="s">
        <v>133</v>
      </c>
    </row>
    <row r="7" spans="1:15" ht="14.5" x14ac:dyDescent="0.35">
      <c r="A7" s="231"/>
      <c r="B7" s="76" t="s">
        <v>18</v>
      </c>
      <c r="C7" s="105">
        <v>1</v>
      </c>
      <c r="D7" s="49">
        <v>3</v>
      </c>
      <c r="E7" s="49">
        <v>1</v>
      </c>
      <c r="F7" s="49">
        <v>3</v>
      </c>
      <c r="G7" s="49">
        <v>2</v>
      </c>
      <c r="H7" s="49">
        <v>3</v>
      </c>
      <c r="I7" s="49">
        <v>4</v>
      </c>
      <c r="J7" s="49">
        <v>3.5</v>
      </c>
      <c r="K7" s="49">
        <v>4</v>
      </c>
      <c r="L7" s="49">
        <v>2.5</v>
      </c>
      <c r="M7" s="58">
        <v>9</v>
      </c>
      <c r="N7" s="60">
        <f t="shared" si="0"/>
        <v>57.5</v>
      </c>
      <c r="O7" t="s">
        <v>133</v>
      </c>
    </row>
    <row r="8" spans="1:15" ht="14.5" x14ac:dyDescent="0.35">
      <c r="A8" s="229">
        <v>2</v>
      </c>
      <c r="B8" s="48" t="s">
        <v>10</v>
      </c>
      <c r="C8" s="104">
        <v>1</v>
      </c>
      <c r="D8" s="51">
        <v>5</v>
      </c>
      <c r="E8" s="51">
        <v>1</v>
      </c>
      <c r="F8" s="51">
        <v>3</v>
      </c>
      <c r="G8" s="51">
        <v>2</v>
      </c>
      <c r="H8" s="51">
        <v>3</v>
      </c>
      <c r="I8" s="51">
        <v>4</v>
      </c>
      <c r="J8" s="51">
        <v>3</v>
      </c>
      <c r="K8" s="51">
        <v>4</v>
      </c>
      <c r="L8" s="51">
        <v>4</v>
      </c>
      <c r="M8" s="57">
        <v>9</v>
      </c>
      <c r="N8" s="55">
        <f t="shared" si="0"/>
        <v>71</v>
      </c>
      <c r="O8" t="s">
        <v>133</v>
      </c>
    </row>
    <row r="9" spans="1:15" ht="14.5" x14ac:dyDescent="0.35">
      <c r="A9" s="230"/>
      <c r="B9" s="75" t="s">
        <v>12</v>
      </c>
      <c r="C9" s="105">
        <v>1</v>
      </c>
      <c r="D9" s="49">
        <v>5</v>
      </c>
      <c r="E9" s="49">
        <v>1</v>
      </c>
      <c r="F9" s="49">
        <v>3</v>
      </c>
      <c r="G9" s="49">
        <v>2</v>
      </c>
      <c r="H9" s="49">
        <v>4</v>
      </c>
      <c r="I9" s="49">
        <v>4</v>
      </c>
      <c r="J9" s="49">
        <v>3</v>
      </c>
      <c r="K9" s="49">
        <v>4</v>
      </c>
      <c r="L9" s="49">
        <v>4</v>
      </c>
      <c r="M9" s="58">
        <v>9</v>
      </c>
      <c r="N9" s="60">
        <f t="shared" si="0"/>
        <v>75</v>
      </c>
      <c r="O9" t="s">
        <v>133</v>
      </c>
    </row>
    <row r="10" spans="1:15" ht="14.5" x14ac:dyDescent="0.35">
      <c r="A10" s="230"/>
      <c r="B10" s="95" t="s">
        <v>14</v>
      </c>
      <c r="C10" s="105">
        <v>1</v>
      </c>
      <c r="D10" s="49">
        <v>3</v>
      </c>
      <c r="E10" s="49">
        <v>1</v>
      </c>
      <c r="F10" s="49">
        <v>3</v>
      </c>
      <c r="G10" s="49">
        <v>2</v>
      </c>
      <c r="H10" s="49">
        <v>4</v>
      </c>
      <c r="I10" s="49">
        <v>4</v>
      </c>
      <c r="J10" s="49">
        <v>4</v>
      </c>
      <c r="K10" s="49">
        <v>4</v>
      </c>
      <c r="L10" s="49">
        <v>5</v>
      </c>
      <c r="M10" s="58">
        <v>9</v>
      </c>
      <c r="N10" s="60">
        <f t="shared" si="0"/>
        <v>86</v>
      </c>
      <c r="O10" t="s">
        <v>133</v>
      </c>
    </row>
    <row r="11" spans="1:15" ht="14.5" x14ac:dyDescent="0.35">
      <c r="A11" s="230"/>
      <c r="B11" s="75" t="s">
        <v>16</v>
      </c>
      <c r="C11" s="105">
        <v>1</v>
      </c>
      <c r="D11" s="49">
        <v>4</v>
      </c>
      <c r="E11" s="49">
        <v>1</v>
      </c>
      <c r="F11" s="49">
        <v>4</v>
      </c>
      <c r="G11" s="49">
        <v>2</v>
      </c>
      <c r="H11" s="49">
        <v>5</v>
      </c>
      <c r="I11" s="49">
        <v>4</v>
      </c>
      <c r="J11" s="49">
        <v>4</v>
      </c>
      <c r="K11" s="49">
        <v>4</v>
      </c>
      <c r="L11" s="49">
        <v>4</v>
      </c>
      <c r="M11" s="58">
        <v>9</v>
      </c>
      <c r="N11" s="60">
        <f t="shared" si="0"/>
        <v>84</v>
      </c>
      <c r="O11" t="s">
        <v>133</v>
      </c>
    </row>
    <row r="12" spans="1:15" ht="14.5" x14ac:dyDescent="0.35">
      <c r="A12" s="231"/>
      <c r="B12" s="76" t="s">
        <v>18</v>
      </c>
      <c r="C12" s="105">
        <v>1</v>
      </c>
      <c r="D12" s="49">
        <v>4</v>
      </c>
      <c r="E12" s="49">
        <v>1</v>
      </c>
      <c r="F12" s="49">
        <v>5</v>
      </c>
      <c r="G12" s="49">
        <v>2</v>
      </c>
      <c r="H12" s="49">
        <v>4</v>
      </c>
      <c r="I12" s="49">
        <v>4</v>
      </c>
      <c r="J12" s="49">
        <v>5</v>
      </c>
      <c r="K12" s="49">
        <v>4</v>
      </c>
      <c r="L12" s="49">
        <v>5</v>
      </c>
      <c r="M12" s="58">
        <v>9</v>
      </c>
      <c r="N12" s="60">
        <f t="shared" si="0"/>
        <v>95</v>
      </c>
      <c r="O12" t="s">
        <v>133</v>
      </c>
    </row>
    <row r="13" spans="1:15" ht="14.5" x14ac:dyDescent="0.35">
      <c r="A13" s="229">
        <v>3</v>
      </c>
      <c r="B13" s="48" t="s">
        <v>10</v>
      </c>
      <c r="C13" s="104">
        <v>1</v>
      </c>
      <c r="D13" s="51">
        <v>4</v>
      </c>
      <c r="E13" s="51">
        <v>1</v>
      </c>
      <c r="F13" s="51">
        <v>4</v>
      </c>
      <c r="G13" s="51">
        <v>2</v>
      </c>
      <c r="H13" s="51">
        <v>4</v>
      </c>
      <c r="I13" s="51">
        <v>4</v>
      </c>
      <c r="J13" s="51">
        <v>4</v>
      </c>
      <c r="K13" s="51">
        <v>4</v>
      </c>
      <c r="L13" s="51">
        <v>4.5</v>
      </c>
      <c r="M13" s="57">
        <v>9</v>
      </c>
      <c r="N13" s="55">
        <f t="shared" si="0"/>
        <v>84.5</v>
      </c>
      <c r="O13" t="s">
        <v>133</v>
      </c>
    </row>
    <row r="14" spans="1:15" ht="14.5" x14ac:dyDescent="0.35">
      <c r="A14" s="230"/>
      <c r="B14" s="75" t="s">
        <v>12</v>
      </c>
      <c r="C14" s="105">
        <v>1</v>
      </c>
      <c r="D14" s="49">
        <v>3.5</v>
      </c>
      <c r="E14" s="49">
        <v>1</v>
      </c>
      <c r="F14" s="49">
        <v>4</v>
      </c>
      <c r="G14" s="49">
        <v>2</v>
      </c>
      <c r="H14" s="49">
        <v>3.5</v>
      </c>
      <c r="I14" s="49">
        <v>4</v>
      </c>
      <c r="J14" s="49">
        <v>3.5</v>
      </c>
      <c r="K14" s="49">
        <v>4</v>
      </c>
      <c r="L14" s="49">
        <v>4</v>
      </c>
      <c r="M14" s="58">
        <v>9</v>
      </c>
      <c r="N14" s="60">
        <f t="shared" si="0"/>
        <v>75.5</v>
      </c>
      <c r="O14" t="s">
        <v>133</v>
      </c>
    </row>
    <row r="15" spans="1:15" ht="14.5" x14ac:dyDescent="0.35">
      <c r="A15" s="230"/>
      <c r="B15" s="95" t="s">
        <v>14</v>
      </c>
      <c r="C15" s="105">
        <v>1</v>
      </c>
      <c r="D15" s="49">
        <v>3</v>
      </c>
      <c r="E15" s="49">
        <v>1</v>
      </c>
      <c r="F15" s="49">
        <v>2.5</v>
      </c>
      <c r="G15" s="49">
        <v>2</v>
      </c>
      <c r="H15" s="49">
        <v>2</v>
      </c>
      <c r="I15" s="49">
        <v>4</v>
      </c>
      <c r="J15" s="49">
        <v>3</v>
      </c>
      <c r="K15" s="49">
        <v>4</v>
      </c>
      <c r="L15" s="49">
        <v>3</v>
      </c>
      <c r="M15" s="58">
        <v>9</v>
      </c>
      <c r="N15" s="60">
        <f t="shared" si="0"/>
        <v>55</v>
      </c>
      <c r="O15" t="s">
        <v>133</v>
      </c>
    </row>
    <row r="16" spans="1:15" ht="14.5" x14ac:dyDescent="0.35">
      <c r="A16" s="230"/>
      <c r="B16" s="75" t="s">
        <v>16</v>
      </c>
      <c r="C16" s="105">
        <v>1</v>
      </c>
      <c r="D16" s="49">
        <v>3.5</v>
      </c>
      <c r="E16" s="49">
        <v>1</v>
      </c>
      <c r="F16" s="49">
        <v>3.5</v>
      </c>
      <c r="G16" s="49">
        <v>2</v>
      </c>
      <c r="H16" s="49">
        <v>3</v>
      </c>
      <c r="I16" s="49">
        <v>4</v>
      </c>
      <c r="J16" s="49">
        <v>3</v>
      </c>
      <c r="K16" s="49">
        <v>4</v>
      </c>
      <c r="L16" s="49">
        <v>2.5</v>
      </c>
      <c r="M16" s="58">
        <v>9</v>
      </c>
      <c r="N16" s="60">
        <f t="shared" si="0"/>
        <v>57</v>
      </c>
      <c r="O16" t="s">
        <v>133</v>
      </c>
    </row>
    <row r="17" spans="1:15" ht="14.5" x14ac:dyDescent="0.35">
      <c r="A17" s="231"/>
      <c r="B17" s="76" t="s">
        <v>18</v>
      </c>
      <c r="C17" s="105">
        <v>1</v>
      </c>
      <c r="D17" s="49">
        <v>2.5</v>
      </c>
      <c r="E17" s="49">
        <v>1</v>
      </c>
      <c r="F17" s="49">
        <v>3</v>
      </c>
      <c r="G17" s="49">
        <v>2</v>
      </c>
      <c r="H17" s="49">
        <v>2.5</v>
      </c>
      <c r="I17" s="49">
        <v>4</v>
      </c>
      <c r="J17" s="49">
        <v>2.5</v>
      </c>
      <c r="K17" s="49">
        <v>4</v>
      </c>
      <c r="L17" s="49">
        <v>2.5</v>
      </c>
      <c r="M17" s="58">
        <v>9</v>
      </c>
      <c r="N17" s="60">
        <f t="shared" si="0"/>
        <v>51</v>
      </c>
      <c r="O17" t="s">
        <v>133</v>
      </c>
    </row>
    <row r="18" spans="1:15" ht="14.5" x14ac:dyDescent="0.35">
      <c r="A18" s="229">
        <v>4</v>
      </c>
      <c r="B18" s="48" t="s">
        <v>10</v>
      </c>
      <c r="C18" s="104">
        <v>1</v>
      </c>
      <c r="D18" s="51">
        <v>4</v>
      </c>
      <c r="E18" s="51">
        <v>1</v>
      </c>
      <c r="F18" s="51">
        <v>4</v>
      </c>
      <c r="G18" s="51">
        <v>2</v>
      </c>
      <c r="H18" s="51">
        <v>4.5</v>
      </c>
      <c r="I18" s="51">
        <v>4</v>
      </c>
      <c r="J18" s="51">
        <v>4.5</v>
      </c>
      <c r="K18" s="51">
        <v>4</v>
      </c>
      <c r="L18" s="51">
        <v>4.5</v>
      </c>
      <c r="M18" s="57">
        <v>9</v>
      </c>
      <c r="N18" s="55">
        <f t="shared" si="0"/>
        <v>88.5</v>
      </c>
      <c r="O18" t="s">
        <v>133</v>
      </c>
    </row>
    <row r="19" spans="1:15" ht="15" customHeight="1" x14ac:dyDescent="0.35">
      <c r="A19" s="230"/>
      <c r="B19" s="75" t="s">
        <v>12</v>
      </c>
      <c r="C19" s="105">
        <v>1</v>
      </c>
      <c r="D19" s="49">
        <v>3.5</v>
      </c>
      <c r="E19" s="49">
        <v>1</v>
      </c>
      <c r="F19" s="49">
        <v>3.5</v>
      </c>
      <c r="G19" s="49">
        <v>2</v>
      </c>
      <c r="H19" s="49">
        <v>4</v>
      </c>
      <c r="I19" s="49">
        <v>4</v>
      </c>
      <c r="J19" s="49">
        <v>4</v>
      </c>
      <c r="K19" s="49">
        <v>4</v>
      </c>
      <c r="L19" s="49">
        <v>4</v>
      </c>
      <c r="M19" s="58">
        <v>9</v>
      </c>
      <c r="N19" s="60">
        <f t="shared" si="0"/>
        <v>78.5</v>
      </c>
      <c r="O19" t="s">
        <v>133</v>
      </c>
    </row>
    <row r="20" spans="1:15" ht="15" customHeight="1" x14ac:dyDescent="0.35">
      <c r="A20" s="230"/>
      <c r="B20" s="95" t="s">
        <v>14</v>
      </c>
      <c r="C20" s="105">
        <v>1</v>
      </c>
      <c r="D20" s="49">
        <v>2</v>
      </c>
      <c r="E20" s="49">
        <v>1</v>
      </c>
      <c r="F20" s="49">
        <v>2</v>
      </c>
      <c r="G20" s="49">
        <v>2</v>
      </c>
      <c r="H20" s="49">
        <v>3.5</v>
      </c>
      <c r="I20" s="49">
        <v>4</v>
      </c>
      <c r="J20" s="49">
        <v>3</v>
      </c>
      <c r="K20" s="49">
        <v>4</v>
      </c>
      <c r="L20" s="49">
        <v>4</v>
      </c>
      <c r="M20" s="58">
        <v>9</v>
      </c>
      <c r="N20" s="60">
        <f t="shared" si="0"/>
        <v>68</v>
      </c>
      <c r="O20" t="s">
        <v>133</v>
      </c>
    </row>
    <row r="21" spans="1:15" ht="15" customHeight="1" x14ac:dyDescent="0.35">
      <c r="A21" s="230"/>
      <c r="B21" s="75" t="s">
        <v>16</v>
      </c>
      <c r="C21" s="105">
        <v>1</v>
      </c>
      <c r="D21" s="49">
        <v>2.5</v>
      </c>
      <c r="E21" s="49">
        <v>1</v>
      </c>
      <c r="F21" s="49">
        <v>2.5</v>
      </c>
      <c r="G21" s="49">
        <v>2</v>
      </c>
      <c r="H21" s="49">
        <v>3</v>
      </c>
      <c r="I21" s="49">
        <v>4</v>
      </c>
      <c r="J21" s="49">
        <v>3</v>
      </c>
      <c r="K21" s="49">
        <v>4</v>
      </c>
      <c r="L21" s="49">
        <v>4</v>
      </c>
      <c r="M21" s="58">
        <v>9</v>
      </c>
      <c r="N21" s="60">
        <f t="shared" si="0"/>
        <v>67.5</v>
      </c>
      <c r="O21" t="s">
        <v>133</v>
      </c>
    </row>
    <row r="22" spans="1:15" ht="15" customHeight="1" x14ac:dyDescent="0.35">
      <c r="A22" s="231"/>
      <c r="B22" s="76" t="s">
        <v>18</v>
      </c>
      <c r="C22" s="105">
        <v>1</v>
      </c>
      <c r="D22" s="49">
        <v>2</v>
      </c>
      <c r="E22" s="49">
        <v>1</v>
      </c>
      <c r="F22" s="49">
        <v>2</v>
      </c>
      <c r="G22" s="49">
        <v>2</v>
      </c>
      <c r="H22" s="49">
        <v>2.5</v>
      </c>
      <c r="I22" s="49">
        <v>4</v>
      </c>
      <c r="J22" s="49">
        <v>2.5</v>
      </c>
      <c r="K22" s="49">
        <v>4</v>
      </c>
      <c r="L22" s="49">
        <v>3.5</v>
      </c>
      <c r="M22" s="58">
        <v>9</v>
      </c>
      <c r="N22" s="60">
        <f t="shared" si="0"/>
        <v>57.5</v>
      </c>
      <c r="O22" t="s">
        <v>133</v>
      </c>
    </row>
    <row r="23" spans="1:15" ht="15" customHeight="1" x14ac:dyDescent="0.35">
      <c r="A23" s="229">
        <v>5</v>
      </c>
      <c r="B23" s="48" t="s">
        <v>10</v>
      </c>
      <c r="C23" s="104">
        <v>1</v>
      </c>
      <c r="D23" s="51">
        <v>4</v>
      </c>
      <c r="E23" s="51">
        <v>1</v>
      </c>
      <c r="F23" s="51">
        <v>4</v>
      </c>
      <c r="G23" s="51">
        <v>2</v>
      </c>
      <c r="H23" s="51">
        <v>4</v>
      </c>
      <c r="I23" s="51">
        <v>4</v>
      </c>
      <c r="J23" s="51">
        <v>4</v>
      </c>
      <c r="K23" s="51">
        <v>4</v>
      </c>
      <c r="L23" s="51">
        <v>4</v>
      </c>
      <c r="M23" s="57">
        <v>9</v>
      </c>
      <c r="N23" s="55">
        <f t="shared" si="0"/>
        <v>80</v>
      </c>
      <c r="O23" t="s">
        <v>133</v>
      </c>
    </row>
    <row r="24" spans="1:15" ht="15" customHeight="1" x14ac:dyDescent="0.35">
      <c r="A24" s="230"/>
      <c r="B24" s="75" t="s">
        <v>12</v>
      </c>
      <c r="C24" s="105">
        <v>1</v>
      </c>
      <c r="D24" s="49">
        <v>5</v>
      </c>
      <c r="E24" s="49">
        <v>1</v>
      </c>
      <c r="F24" s="49">
        <v>4</v>
      </c>
      <c r="G24" s="49">
        <v>2</v>
      </c>
      <c r="H24" s="49">
        <v>5</v>
      </c>
      <c r="I24" s="49">
        <v>4</v>
      </c>
      <c r="J24" s="49">
        <v>5</v>
      </c>
      <c r="K24" s="49">
        <v>4</v>
      </c>
      <c r="L24" s="49">
        <v>3</v>
      </c>
      <c r="M24" s="58">
        <v>9</v>
      </c>
      <c r="N24" s="60">
        <f t="shared" si="0"/>
        <v>80</v>
      </c>
      <c r="O24" t="s">
        <v>133</v>
      </c>
    </row>
    <row r="25" spans="1:15" ht="15" customHeight="1" x14ac:dyDescent="0.35">
      <c r="A25" s="230"/>
      <c r="B25" s="95" t="s">
        <v>14</v>
      </c>
      <c r="C25" s="105">
        <v>1</v>
      </c>
      <c r="D25" s="49">
        <v>3</v>
      </c>
      <c r="E25" s="49">
        <v>1</v>
      </c>
      <c r="F25" s="49">
        <v>4</v>
      </c>
      <c r="G25" s="49">
        <v>2</v>
      </c>
      <c r="H25" s="49">
        <v>3</v>
      </c>
      <c r="I25" s="49">
        <v>4</v>
      </c>
      <c r="J25" s="49">
        <v>3</v>
      </c>
      <c r="K25" s="49">
        <v>4</v>
      </c>
      <c r="L25" s="49">
        <v>2</v>
      </c>
      <c r="M25" s="58">
        <v>9</v>
      </c>
      <c r="N25" s="60">
        <f t="shared" si="0"/>
        <v>53</v>
      </c>
      <c r="O25" t="s">
        <v>133</v>
      </c>
    </row>
    <row r="26" spans="1:15" ht="15" customHeight="1" x14ac:dyDescent="0.35">
      <c r="A26" s="230"/>
      <c r="B26" s="75" t="s">
        <v>16</v>
      </c>
      <c r="C26" s="105">
        <v>1</v>
      </c>
      <c r="D26" s="49">
        <v>4</v>
      </c>
      <c r="E26" s="49">
        <v>1</v>
      </c>
      <c r="F26" s="49">
        <v>5</v>
      </c>
      <c r="G26" s="49">
        <v>2</v>
      </c>
      <c r="H26" s="49">
        <v>3</v>
      </c>
      <c r="I26" s="49">
        <v>4</v>
      </c>
      <c r="J26" s="49">
        <v>3</v>
      </c>
      <c r="K26" s="49">
        <v>4</v>
      </c>
      <c r="L26" s="49">
        <v>2</v>
      </c>
      <c r="M26" s="58">
        <v>9</v>
      </c>
      <c r="N26" s="60">
        <f t="shared" si="0"/>
        <v>56</v>
      </c>
      <c r="O26" t="s">
        <v>133</v>
      </c>
    </row>
    <row r="27" spans="1:15" ht="15" customHeight="1" x14ac:dyDescent="0.35">
      <c r="A27" s="231"/>
      <c r="B27" s="76" t="s">
        <v>18</v>
      </c>
      <c r="C27" s="105">
        <v>1</v>
      </c>
      <c r="D27" s="49">
        <v>3</v>
      </c>
      <c r="E27" s="49">
        <v>1</v>
      </c>
      <c r="F27" s="49">
        <v>4</v>
      </c>
      <c r="G27" s="49">
        <v>2</v>
      </c>
      <c r="H27" s="49">
        <v>3</v>
      </c>
      <c r="I27" s="49">
        <v>4</v>
      </c>
      <c r="J27" s="49">
        <v>2</v>
      </c>
      <c r="K27" s="49">
        <v>4</v>
      </c>
      <c r="L27" s="49">
        <v>1</v>
      </c>
      <c r="M27" s="58">
        <v>9</v>
      </c>
      <c r="N27" s="60">
        <f t="shared" si="0"/>
        <v>40</v>
      </c>
      <c r="O27" t="s">
        <v>133</v>
      </c>
    </row>
    <row r="28" spans="1:15" ht="15" customHeight="1" x14ac:dyDescent="0.35">
      <c r="A28" s="229">
        <v>6</v>
      </c>
      <c r="B28" s="48" t="s">
        <v>10</v>
      </c>
      <c r="C28" s="104">
        <v>1</v>
      </c>
      <c r="D28" s="51">
        <v>4</v>
      </c>
      <c r="E28" s="51">
        <v>1</v>
      </c>
      <c r="F28" s="51">
        <v>4</v>
      </c>
      <c r="G28" s="51">
        <v>2</v>
      </c>
      <c r="H28" s="51">
        <v>3.5</v>
      </c>
      <c r="I28" s="51">
        <v>4</v>
      </c>
      <c r="J28" s="51">
        <v>4.5</v>
      </c>
      <c r="K28" s="51">
        <v>4</v>
      </c>
      <c r="L28" s="51">
        <v>4</v>
      </c>
      <c r="M28" s="57">
        <v>9</v>
      </c>
      <c r="N28" s="55">
        <f t="shared" si="0"/>
        <v>80</v>
      </c>
      <c r="O28" t="s">
        <v>133</v>
      </c>
    </row>
    <row r="29" spans="1:15" ht="15" customHeight="1" x14ac:dyDescent="0.35">
      <c r="A29" s="230"/>
      <c r="B29" s="75" t="s">
        <v>12</v>
      </c>
      <c r="C29" s="105">
        <v>1</v>
      </c>
      <c r="D29" s="49">
        <v>3.5</v>
      </c>
      <c r="E29" s="49">
        <v>1</v>
      </c>
      <c r="F29" s="49">
        <v>4</v>
      </c>
      <c r="G29" s="49">
        <v>2</v>
      </c>
      <c r="H29" s="49">
        <v>3</v>
      </c>
      <c r="I29" s="49">
        <v>4</v>
      </c>
      <c r="J29" s="49">
        <v>4</v>
      </c>
      <c r="K29" s="49">
        <v>4</v>
      </c>
      <c r="L29" s="49">
        <v>3.5</v>
      </c>
      <c r="M29" s="58">
        <v>9</v>
      </c>
      <c r="N29" s="60">
        <f t="shared" si="0"/>
        <v>71</v>
      </c>
      <c r="O29" t="s">
        <v>133</v>
      </c>
    </row>
    <row r="30" spans="1:15" ht="15" customHeight="1" x14ac:dyDescent="0.35">
      <c r="A30" s="230"/>
      <c r="B30" s="95" t="s">
        <v>14</v>
      </c>
      <c r="C30" s="105">
        <v>1</v>
      </c>
      <c r="D30" s="49">
        <v>2</v>
      </c>
      <c r="E30" s="49">
        <v>1</v>
      </c>
      <c r="F30" s="49">
        <v>2</v>
      </c>
      <c r="G30" s="49">
        <v>2</v>
      </c>
      <c r="H30" s="49">
        <v>1</v>
      </c>
      <c r="I30" s="49">
        <v>4</v>
      </c>
      <c r="J30" s="49">
        <v>1</v>
      </c>
      <c r="K30" s="49">
        <v>4</v>
      </c>
      <c r="L30" s="49">
        <v>1</v>
      </c>
      <c r="M30" s="58">
        <v>9</v>
      </c>
      <c r="N30" s="60">
        <f t="shared" si="0"/>
        <v>23</v>
      </c>
      <c r="O30" t="s">
        <v>133</v>
      </c>
    </row>
    <row r="31" spans="1:15" ht="15" customHeight="1" x14ac:dyDescent="0.35">
      <c r="A31" s="230"/>
      <c r="B31" s="75" t="s">
        <v>16</v>
      </c>
      <c r="C31" s="105">
        <v>1</v>
      </c>
      <c r="D31" s="49">
        <v>3.5</v>
      </c>
      <c r="E31" s="49">
        <v>1</v>
      </c>
      <c r="F31" s="49">
        <v>3.5</v>
      </c>
      <c r="G31" s="49">
        <v>2</v>
      </c>
      <c r="H31" s="49">
        <v>3.5</v>
      </c>
      <c r="I31" s="49">
        <v>4</v>
      </c>
      <c r="J31" s="49">
        <v>3.5</v>
      </c>
      <c r="K31" s="49">
        <v>4</v>
      </c>
      <c r="L31" s="49">
        <v>3.5</v>
      </c>
      <c r="M31" s="58">
        <v>9</v>
      </c>
      <c r="N31" s="60">
        <f t="shared" si="0"/>
        <v>70</v>
      </c>
      <c r="O31" t="s">
        <v>133</v>
      </c>
    </row>
    <row r="32" spans="1:15" ht="15" customHeight="1" x14ac:dyDescent="0.35">
      <c r="A32" s="231"/>
      <c r="B32" s="76" t="s">
        <v>18</v>
      </c>
      <c r="C32" s="105">
        <v>1</v>
      </c>
      <c r="D32" s="49">
        <v>2</v>
      </c>
      <c r="E32" s="49">
        <v>1</v>
      </c>
      <c r="F32" s="49">
        <v>2.5</v>
      </c>
      <c r="G32" s="49">
        <v>2</v>
      </c>
      <c r="H32" s="49">
        <v>1</v>
      </c>
      <c r="I32" s="49">
        <v>4</v>
      </c>
      <c r="J32" s="49">
        <v>1</v>
      </c>
      <c r="K32" s="49">
        <v>4</v>
      </c>
      <c r="L32" s="49">
        <v>1</v>
      </c>
      <c r="M32" s="58">
        <v>9</v>
      </c>
      <c r="N32" s="60">
        <f t="shared" si="0"/>
        <v>24</v>
      </c>
      <c r="O32" t="s">
        <v>133</v>
      </c>
    </row>
    <row r="33" spans="1:15" ht="15" customHeight="1" x14ac:dyDescent="0.35">
      <c r="A33" s="229">
        <v>7</v>
      </c>
      <c r="B33" s="48" t="s">
        <v>10</v>
      </c>
      <c r="C33" s="104">
        <v>1</v>
      </c>
      <c r="D33" s="51">
        <v>4</v>
      </c>
      <c r="E33" s="51">
        <v>1</v>
      </c>
      <c r="F33" s="51">
        <v>4</v>
      </c>
      <c r="G33" s="51">
        <v>2</v>
      </c>
      <c r="H33" s="51">
        <v>4</v>
      </c>
      <c r="I33" s="51">
        <v>4</v>
      </c>
      <c r="J33" s="51">
        <v>4</v>
      </c>
      <c r="K33" s="51">
        <v>4</v>
      </c>
      <c r="L33" s="51">
        <v>4</v>
      </c>
      <c r="M33" s="57">
        <v>9</v>
      </c>
      <c r="N33" s="55">
        <f t="shared" si="0"/>
        <v>80</v>
      </c>
      <c r="O33" t="s">
        <v>133</v>
      </c>
    </row>
    <row r="34" spans="1:15" ht="15" customHeight="1" x14ac:dyDescent="0.35">
      <c r="A34" s="230"/>
      <c r="B34" s="75" t="s">
        <v>12</v>
      </c>
      <c r="C34" s="105">
        <v>1</v>
      </c>
      <c r="D34" s="49">
        <v>4</v>
      </c>
      <c r="E34" s="49">
        <v>1</v>
      </c>
      <c r="F34" s="49">
        <v>4</v>
      </c>
      <c r="G34" s="49">
        <v>2</v>
      </c>
      <c r="H34" s="49">
        <v>4</v>
      </c>
      <c r="I34" s="49">
        <v>4</v>
      </c>
      <c r="J34" s="49">
        <v>4.5</v>
      </c>
      <c r="K34" s="49">
        <v>4</v>
      </c>
      <c r="L34" s="49">
        <v>4.5</v>
      </c>
      <c r="M34" s="58">
        <v>9</v>
      </c>
      <c r="N34" s="60">
        <f t="shared" si="0"/>
        <v>86.5</v>
      </c>
      <c r="O34" t="s">
        <v>133</v>
      </c>
    </row>
    <row r="35" spans="1:15" ht="15" customHeight="1" x14ac:dyDescent="0.35">
      <c r="A35" s="230"/>
      <c r="B35" s="95" t="s">
        <v>14</v>
      </c>
      <c r="C35" s="105">
        <v>1</v>
      </c>
      <c r="D35" s="49">
        <v>2.5</v>
      </c>
      <c r="E35" s="49">
        <v>1</v>
      </c>
      <c r="F35" s="49">
        <v>2.5</v>
      </c>
      <c r="G35" s="49">
        <v>2</v>
      </c>
      <c r="H35" s="49">
        <v>2.5</v>
      </c>
      <c r="I35" s="49">
        <v>4</v>
      </c>
      <c r="J35" s="49">
        <v>2.5</v>
      </c>
      <c r="K35" s="49">
        <v>4</v>
      </c>
      <c r="L35" s="49">
        <v>2.5</v>
      </c>
      <c r="M35" s="58">
        <v>9</v>
      </c>
      <c r="N35" s="60">
        <f t="shared" si="0"/>
        <v>50</v>
      </c>
      <c r="O35" t="s">
        <v>133</v>
      </c>
    </row>
    <row r="36" spans="1:15" ht="15" customHeight="1" x14ac:dyDescent="0.35">
      <c r="A36" s="230"/>
      <c r="B36" s="75" t="s">
        <v>16</v>
      </c>
      <c r="C36" s="105">
        <v>1</v>
      </c>
      <c r="D36" s="49">
        <v>3</v>
      </c>
      <c r="E36" s="49">
        <v>1</v>
      </c>
      <c r="F36" s="49">
        <v>3</v>
      </c>
      <c r="G36" s="49">
        <v>2</v>
      </c>
      <c r="H36" s="49">
        <v>3</v>
      </c>
      <c r="I36" s="49">
        <v>4</v>
      </c>
      <c r="J36" s="49">
        <v>2.5</v>
      </c>
      <c r="K36" s="49">
        <v>4</v>
      </c>
      <c r="L36" s="49">
        <v>2</v>
      </c>
      <c r="M36" s="58">
        <v>9</v>
      </c>
      <c r="N36" s="60">
        <f t="shared" si="0"/>
        <v>49</v>
      </c>
      <c r="O36" t="s">
        <v>133</v>
      </c>
    </row>
    <row r="37" spans="1:15" ht="15" customHeight="1" x14ac:dyDescent="0.35">
      <c r="A37" s="231"/>
      <c r="B37" s="76" t="s">
        <v>18</v>
      </c>
      <c r="C37" s="105">
        <v>1</v>
      </c>
      <c r="D37" s="49">
        <v>2.5</v>
      </c>
      <c r="E37" s="49">
        <v>1</v>
      </c>
      <c r="F37" s="49">
        <v>2.5</v>
      </c>
      <c r="G37" s="49">
        <v>2</v>
      </c>
      <c r="H37" s="49">
        <v>2.5</v>
      </c>
      <c r="I37" s="49">
        <v>4</v>
      </c>
      <c r="J37" s="49">
        <v>2</v>
      </c>
      <c r="K37" s="49">
        <v>4</v>
      </c>
      <c r="L37" s="49">
        <v>2</v>
      </c>
      <c r="M37" s="58">
        <v>9</v>
      </c>
      <c r="N37" s="60">
        <f t="shared" si="0"/>
        <v>43.5</v>
      </c>
      <c r="O37" t="s">
        <v>133</v>
      </c>
    </row>
    <row r="38" spans="1:15" ht="15" customHeight="1" x14ac:dyDescent="0.35">
      <c r="A38" s="229">
        <v>8</v>
      </c>
      <c r="B38" s="48" t="s">
        <v>10</v>
      </c>
      <c r="C38" s="104">
        <v>1</v>
      </c>
      <c r="D38" s="51">
        <v>4</v>
      </c>
      <c r="E38" s="51">
        <v>1</v>
      </c>
      <c r="F38" s="51">
        <v>4</v>
      </c>
      <c r="G38" s="51">
        <v>2</v>
      </c>
      <c r="H38" s="51">
        <v>4</v>
      </c>
      <c r="I38" s="51">
        <v>4</v>
      </c>
      <c r="J38" s="51">
        <v>4</v>
      </c>
      <c r="K38" s="51">
        <v>4</v>
      </c>
      <c r="L38" s="51">
        <v>4</v>
      </c>
      <c r="M38" s="57">
        <v>9</v>
      </c>
      <c r="N38" s="55">
        <f t="shared" si="0"/>
        <v>80</v>
      </c>
      <c r="O38" t="s">
        <v>133</v>
      </c>
    </row>
    <row r="39" spans="1:15" ht="15" customHeight="1" x14ac:dyDescent="0.35">
      <c r="A39" s="230"/>
      <c r="B39" s="75" t="s">
        <v>12</v>
      </c>
      <c r="C39" s="105">
        <v>1</v>
      </c>
      <c r="D39" s="49">
        <v>4</v>
      </c>
      <c r="E39" s="49">
        <v>1</v>
      </c>
      <c r="F39" s="49">
        <v>4</v>
      </c>
      <c r="G39" s="49">
        <v>2</v>
      </c>
      <c r="H39" s="49">
        <v>3.5</v>
      </c>
      <c r="I39" s="49">
        <v>4</v>
      </c>
      <c r="J39" s="49">
        <v>3.5</v>
      </c>
      <c r="K39" s="49">
        <v>4</v>
      </c>
      <c r="L39" s="49">
        <v>3</v>
      </c>
      <c r="M39" s="58">
        <v>9</v>
      </c>
      <c r="N39" s="60">
        <f t="shared" si="0"/>
        <v>67</v>
      </c>
      <c r="O39" t="s">
        <v>133</v>
      </c>
    </row>
    <row r="40" spans="1:15" ht="15" customHeight="1" x14ac:dyDescent="0.35">
      <c r="A40" s="230"/>
      <c r="B40" s="95" t="s">
        <v>14</v>
      </c>
      <c r="C40" s="105">
        <v>1</v>
      </c>
      <c r="D40" s="49">
        <v>2.5</v>
      </c>
      <c r="E40" s="49">
        <v>1</v>
      </c>
      <c r="F40" s="49">
        <v>2.5</v>
      </c>
      <c r="G40" s="49">
        <v>2</v>
      </c>
      <c r="H40" s="49">
        <v>2.5</v>
      </c>
      <c r="I40" s="49">
        <v>4</v>
      </c>
      <c r="J40" s="49">
        <v>2</v>
      </c>
      <c r="K40" s="49">
        <v>4</v>
      </c>
      <c r="L40" s="49">
        <v>2</v>
      </c>
      <c r="M40" s="58">
        <v>9</v>
      </c>
      <c r="N40" s="60">
        <f t="shared" si="0"/>
        <v>43.5</v>
      </c>
      <c r="O40" t="s">
        <v>133</v>
      </c>
    </row>
    <row r="41" spans="1:15" ht="15" customHeight="1" x14ac:dyDescent="0.35">
      <c r="A41" s="230"/>
      <c r="B41" s="75" t="s">
        <v>16</v>
      </c>
      <c r="C41" s="105">
        <v>1</v>
      </c>
      <c r="D41" s="49">
        <v>4</v>
      </c>
      <c r="E41" s="49">
        <v>1</v>
      </c>
      <c r="F41" s="49">
        <v>4.5</v>
      </c>
      <c r="G41" s="49">
        <v>2</v>
      </c>
      <c r="H41" s="49">
        <v>4</v>
      </c>
      <c r="I41" s="49">
        <v>4</v>
      </c>
      <c r="J41" s="49">
        <v>3.5</v>
      </c>
      <c r="K41" s="49">
        <v>4</v>
      </c>
      <c r="L41" s="49">
        <v>3</v>
      </c>
      <c r="M41" s="58">
        <v>9</v>
      </c>
      <c r="N41" s="60">
        <f t="shared" si="0"/>
        <v>70</v>
      </c>
      <c r="O41" t="s">
        <v>133</v>
      </c>
    </row>
    <row r="42" spans="1:15" ht="15" customHeight="1" x14ac:dyDescent="0.35">
      <c r="A42" s="231"/>
      <c r="B42" s="76" t="s">
        <v>18</v>
      </c>
      <c r="C42" s="105">
        <v>1</v>
      </c>
      <c r="D42" s="49">
        <v>2</v>
      </c>
      <c r="E42" s="49">
        <v>1</v>
      </c>
      <c r="F42" s="49">
        <v>3</v>
      </c>
      <c r="G42" s="49">
        <v>2</v>
      </c>
      <c r="H42" s="49">
        <v>2.5</v>
      </c>
      <c r="I42" s="49">
        <v>4</v>
      </c>
      <c r="J42" s="49">
        <v>2</v>
      </c>
      <c r="K42" s="49">
        <v>4</v>
      </c>
      <c r="L42" s="49">
        <v>2</v>
      </c>
      <c r="M42" s="58">
        <v>9</v>
      </c>
      <c r="N42" s="60">
        <f t="shared" si="0"/>
        <v>44</v>
      </c>
      <c r="O42" t="s">
        <v>133</v>
      </c>
    </row>
    <row r="43" spans="1:15" ht="15" customHeight="1" x14ac:dyDescent="0.35">
      <c r="A43" s="233">
        <v>1</v>
      </c>
      <c r="B43" s="48" t="s">
        <v>10</v>
      </c>
      <c r="C43" s="102">
        <v>2</v>
      </c>
      <c r="D43" s="48">
        <v>4</v>
      </c>
      <c r="E43" s="48">
        <v>1</v>
      </c>
      <c r="F43" s="48">
        <v>5</v>
      </c>
      <c r="G43" s="48">
        <v>2</v>
      </c>
      <c r="H43" s="48">
        <v>5</v>
      </c>
      <c r="I43" s="48">
        <v>4</v>
      </c>
      <c r="J43" s="48">
        <v>4</v>
      </c>
      <c r="K43" s="48">
        <v>4</v>
      </c>
      <c r="L43" s="48">
        <v>4.5</v>
      </c>
      <c r="M43" s="48">
        <v>9</v>
      </c>
      <c r="N43" s="96">
        <f t="shared" si="0"/>
        <v>90.5</v>
      </c>
      <c r="O43" t="s">
        <v>134</v>
      </c>
    </row>
    <row r="44" spans="1:15" ht="15" customHeight="1" x14ac:dyDescent="0.35">
      <c r="A44" s="234"/>
      <c r="B44" s="95" t="s">
        <v>16</v>
      </c>
      <c r="C44" s="100">
        <v>2</v>
      </c>
      <c r="D44" s="95">
        <v>5</v>
      </c>
      <c r="E44" s="95">
        <v>1</v>
      </c>
      <c r="F44" s="95">
        <v>4.5</v>
      </c>
      <c r="G44" s="95">
        <v>2</v>
      </c>
      <c r="H44" s="95">
        <v>5</v>
      </c>
      <c r="I44" s="95">
        <v>4</v>
      </c>
      <c r="J44" s="95">
        <v>5</v>
      </c>
      <c r="K44" s="95">
        <v>4</v>
      </c>
      <c r="L44" s="95">
        <v>5</v>
      </c>
      <c r="M44" s="95">
        <v>9</v>
      </c>
      <c r="N44" s="97">
        <f t="shared" si="0"/>
        <v>99</v>
      </c>
      <c r="O44" t="s">
        <v>134</v>
      </c>
    </row>
    <row r="45" spans="1:15" ht="15" customHeight="1" x14ac:dyDescent="0.35">
      <c r="A45" s="234"/>
      <c r="B45" s="95" t="s">
        <v>18</v>
      </c>
      <c r="C45" s="24">
        <v>2</v>
      </c>
      <c r="D45">
        <v>2.5</v>
      </c>
      <c r="E45" s="95">
        <v>1</v>
      </c>
      <c r="F45" s="95">
        <v>2.5</v>
      </c>
      <c r="G45" s="95">
        <v>2</v>
      </c>
      <c r="H45" s="95">
        <v>2.5</v>
      </c>
      <c r="I45" s="95">
        <v>4</v>
      </c>
      <c r="J45" s="95">
        <v>2</v>
      </c>
      <c r="K45" s="95">
        <v>4</v>
      </c>
      <c r="L45" s="95">
        <v>2</v>
      </c>
      <c r="M45" s="95">
        <v>9</v>
      </c>
      <c r="N45" s="97">
        <f t="shared" ref="N45:N50" si="1">D46*E45+F45*G45+H45*I45+J45*K45+L45*M45</f>
        <v>44.5</v>
      </c>
      <c r="O45" t="s">
        <v>134</v>
      </c>
    </row>
    <row r="46" spans="1:15" ht="15" customHeight="1" x14ac:dyDescent="0.35">
      <c r="A46" s="234"/>
      <c r="B46" s="95" t="s">
        <v>20</v>
      </c>
      <c r="C46" s="100">
        <v>2</v>
      </c>
      <c r="D46" s="95">
        <v>3.5</v>
      </c>
      <c r="E46" s="95">
        <v>1</v>
      </c>
      <c r="F46" s="95">
        <v>3.5</v>
      </c>
      <c r="G46" s="95">
        <v>2</v>
      </c>
      <c r="H46" s="95">
        <v>4</v>
      </c>
      <c r="I46" s="95">
        <v>4</v>
      </c>
      <c r="J46" s="95">
        <v>4</v>
      </c>
      <c r="K46" s="95">
        <v>4</v>
      </c>
      <c r="L46" s="95">
        <v>5</v>
      </c>
      <c r="M46" s="95">
        <v>9</v>
      </c>
      <c r="N46" s="97">
        <f t="shared" si="1"/>
        <v>86</v>
      </c>
      <c r="O46" t="s">
        <v>134</v>
      </c>
    </row>
    <row r="47" spans="1:15" ht="15" customHeight="1" x14ac:dyDescent="0.35">
      <c r="A47" s="234"/>
      <c r="B47" s="95" t="s">
        <v>21</v>
      </c>
      <c r="C47" s="100">
        <v>2</v>
      </c>
      <c r="D47" s="95">
        <v>2</v>
      </c>
      <c r="E47" s="95">
        <v>1</v>
      </c>
      <c r="F47" s="95">
        <v>2.5</v>
      </c>
      <c r="G47" s="95">
        <v>2</v>
      </c>
      <c r="H47" s="95">
        <v>2</v>
      </c>
      <c r="I47" s="95">
        <v>4</v>
      </c>
      <c r="J47" s="95">
        <v>1</v>
      </c>
      <c r="K47" s="95">
        <v>4</v>
      </c>
      <c r="L47" s="95">
        <v>4</v>
      </c>
      <c r="M47" s="95">
        <v>9</v>
      </c>
      <c r="N47" s="97">
        <f t="shared" si="1"/>
        <v>57.5</v>
      </c>
      <c r="O47" t="s">
        <v>134</v>
      </c>
    </row>
    <row r="48" spans="1:15" ht="15" customHeight="1" x14ac:dyDescent="0.35">
      <c r="A48" s="234"/>
      <c r="B48" s="95" t="s">
        <v>22</v>
      </c>
      <c r="C48" s="100">
        <v>2</v>
      </c>
      <c r="D48" s="95">
        <v>4.5</v>
      </c>
      <c r="E48" s="95">
        <v>1</v>
      </c>
      <c r="F48" s="95">
        <v>4.5</v>
      </c>
      <c r="G48" s="95">
        <v>2</v>
      </c>
      <c r="H48" s="95">
        <v>4.5</v>
      </c>
      <c r="I48" s="95">
        <v>4</v>
      </c>
      <c r="J48" s="95">
        <v>5</v>
      </c>
      <c r="K48" s="95">
        <v>4</v>
      </c>
      <c r="L48" s="95">
        <v>4.5</v>
      </c>
      <c r="M48" s="95">
        <v>9</v>
      </c>
      <c r="N48" s="97">
        <f t="shared" si="1"/>
        <v>90.5</v>
      </c>
      <c r="O48" t="s">
        <v>134</v>
      </c>
    </row>
    <row r="49" spans="1:15" ht="15" customHeight="1" x14ac:dyDescent="0.35">
      <c r="A49" s="234"/>
      <c r="B49" s="95" t="s">
        <v>23</v>
      </c>
      <c r="C49" s="100">
        <v>2</v>
      </c>
      <c r="D49" s="95">
        <v>3</v>
      </c>
      <c r="E49" s="95">
        <v>1</v>
      </c>
      <c r="F49" s="95">
        <v>3.5</v>
      </c>
      <c r="G49" s="95">
        <v>2</v>
      </c>
      <c r="H49" s="95">
        <v>4</v>
      </c>
      <c r="I49" s="95">
        <v>4</v>
      </c>
      <c r="J49" s="95">
        <v>3</v>
      </c>
      <c r="K49" s="95">
        <v>4</v>
      </c>
      <c r="L49" s="95">
        <v>3</v>
      </c>
      <c r="M49" s="95">
        <v>9</v>
      </c>
      <c r="N49" s="97">
        <f t="shared" si="1"/>
        <v>65.5</v>
      </c>
      <c r="O49" t="s">
        <v>134</v>
      </c>
    </row>
    <row r="50" spans="1:15" ht="15" customHeight="1" x14ac:dyDescent="0.35">
      <c r="A50" s="234"/>
      <c r="B50" s="95" t="s">
        <v>26</v>
      </c>
      <c r="C50" s="100">
        <v>2</v>
      </c>
      <c r="D50" s="95">
        <v>3.5</v>
      </c>
      <c r="E50" s="95">
        <v>1</v>
      </c>
      <c r="F50" s="95">
        <v>3</v>
      </c>
      <c r="G50" s="95">
        <v>2</v>
      </c>
      <c r="H50" s="95">
        <v>3.5</v>
      </c>
      <c r="I50" s="95">
        <v>4</v>
      </c>
      <c r="J50" s="95">
        <v>4</v>
      </c>
      <c r="K50" s="95">
        <v>4</v>
      </c>
      <c r="L50" s="95">
        <v>3.5</v>
      </c>
      <c r="M50" s="95">
        <v>9</v>
      </c>
      <c r="N50" s="97">
        <f t="shared" si="1"/>
        <v>69.5</v>
      </c>
      <c r="O50" t="s">
        <v>134</v>
      </c>
    </row>
    <row r="51" spans="1:15" ht="15" customHeight="1" x14ac:dyDescent="0.35">
      <c r="A51" s="235"/>
      <c r="B51" s="98" t="s">
        <v>27</v>
      </c>
      <c r="C51" s="101">
        <v>2</v>
      </c>
      <c r="D51" s="95">
        <v>2</v>
      </c>
      <c r="E51" s="98">
        <v>1</v>
      </c>
      <c r="F51" s="98">
        <v>4</v>
      </c>
      <c r="G51" s="98">
        <v>2</v>
      </c>
      <c r="H51" s="98">
        <v>2.5</v>
      </c>
      <c r="I51" s="98">
        <v>4</v>
      </c>
      <c r="J51" s="98">
        <v>2</v>
      </c>
      <c r="K51" s="98">
        <v>4</v>
      </c>
      <c r="L51" s="98">
        <v>3.5</v>
      </c>
      <c r="M51" s="98">
        <v>9</v>
      </c>
      <c r="N51" s="99">
        <f>D51*E51+F51*G51+H51*I51+J51*K51+L51*M51</f>
        <v>59.5</v>
      </c>
      <c r="O51" t="s">
        <v>134</v>
      </c>
    </row>
    <row r="52" spans="1:15" ht="15" customHeight="1" x14ac:dyDescent="0.35">
      <c r="A52" s="236">
        <v>2</v>
      </c>
      <c r="B52" s="48" t="s">
        <v>10</v>
      </c>
      <c r="C52" s="102">
        <v>2</v>
      </c>
      <c r="D52" s="48">
        <v>5</v>
      </c>
      <c r="E52" s="48">
        <v>1</v>
      </c>
      <c r="F52" s="48">
        <v>5</v>
      </c>
      <c r="G52" s="48">
        <v>2</v>
      </c>
      <c r="H52" s="48">
        <v>5</v>
      </c>
      <c r="I52" s="48">
        <v>4</v>
      </c>
      <c r="J52" s="48">
        <v>5</v>
      </c>
      <c r="K52" s="48">
        <v>4</v>
      </c>
      <c r="L52" s="48">
        <v>5</v>
      </c>
      <c r="M52" s="48">
        <v>9</v>
      </c>
      <c r="N52" s="96">
        <f t="shared" ref="N52:N69" si="2">D52*E52+F52*G52+H52*I52+J52*K52+L52*M52</f>
        <v>100</v>
      </c>
      <c r="O52" t="s">
        <v>134</v>
      </c>
    </row>
    <row r="53" spans="1:15" ht="15" customHeight="1" x14ac:dyDescent="0.35">
      <c r="A53" s="237"/>
      <c r="B53" s="95" t="s">
        <v>16</v>
      </c>
      <c r="C53" s="100">
        <v>2</v>
      </c>
      <c r="D53" s="95">
        <v>4</v>
      </c>
      <c r="E53" s="95">
        <v>1</v>
      </c>
      <c r="F53" s="95">
        <v>4</v>
      </c>
      <c r="G53" s="95">
        <v>2</v>
      </c>
      <c r="H53" s="95">
        <v>5</v>
      </c>
      <c r="I53" s="95">
        <v>4</v>
      </c>
      <c r="J53" s="95">
        <v>5</v>
      </c>
      <c r="K53" s="95">
        <v>4</v>
      </c>
      <c r="L53" s="95">
        <v>4</v>
      </c>
      <c r="M53" s="95">
        <v>9</v>
      </c>
      <c r="N53" s="97">
        <f t="shared" si="2"/>
        <v>88</v>
      </c>
      <c r="O53" t="s">
        <v>134</v>
      </c>
    </row>
    <row r="54" spans="1:15" ht="15" customHeight="1" x14ac:dyDescent="0.35">
      <c r="A54" s="237"/>
      <c r="B54" s="95" t="s">
        <v>18</v>
      </c>
      <c r="C54" s="100">
        <v>2</v>
      </c>
      <c r="D54" s="95">
        <v>3</v>
      </c>
      <c r="E54" s="95">
        <v>1</v>
      </c>
      <c r="F54" s="95">
        <v>3</v>
      </c>
      <c r="G54" s="95">
        <v>2</v>
      </c>
      <c r="H54" s="95">
        <v>3</v>
      </c>
      <c r="I54" s="95">
        <v>4</v>
      </c>
      <c r="J54" s="95">
        <v>4</v>
      </c>
      <c r="K54" s="95">
        <v>4</v>
      </c>
      <c r="L54" s="95">
        <v>3</v>
      </c>
      <c r="M54" s="95">
        <v>9</v>
      </c>
      <c r="N54" s="97">
        <f t="shared" si="2"/>
        <v>64</v>
      </c>
      <c r="O54" t="s">
        <v>134</v>
      </c>
    </row>
    <row r="55" spans="1:15" ht="15" customHeight="1" x14ac:dyDescent="0.35">
      <c r="A55" s="237"/>
      <c r="B55" s="95" t="s">
        <v>20</v>
      </c>
      <c r="C55" s="100">
        <v>2</v>
      </c>
      <c r="D55" s="95">
        <v>5</v>
      </c>
      <c r="E55" s="95">
        <v>1</v>
      </c>
      <c r="F55" s="95">
        <v>4</v>
      </c>
      <c r="G55" s="95">
        <v>2</v>
      </c>
      <c r="H55" s="95">
        <v>5</v>
      </c>
      <c r="I55" s="95">
        <v>4</v>
      </c>
      <c r="J55" s="95">
        <v>5</v>
      </c>
      <c r="K55" s="95">
        <v>4</v>
      </c>
      <c r="L55" s="95">
        <v>4</v>
      </c>
      <c r="M55" s="95">
        <v>9</v>
      </c>
      <c r="N55" s="97">
        <f t="shared" si="2"/>
        <v>89</v>
      </c>
      <c r="O55" t="s">
        <v>134</v>
      </c>
    </row>
    <row r="56" spans="1:15" ht="15" customHeight="1" x14ac:dyDescent="0.35">
      <c r="A56" s="237"/>
      <c r="B56" s="95" t="s">
        <v>21</v>
      </c>
      <c r="C56" s="100">
        <v>2</v>
      </c>
      <c r="D56" s="95">
        <v>3</v>
      </c>
      <c r="E56" s="95">
        <v>1</v>
      </c>
      <c r="F56" s="95">
        <v>4</v>
      </c>
      <c r="G56" s="95">
        <v>2</v>
      </c>
      <c r="H56" s="95">
        <v>4</v>
      </c>
      <c r="I56" s="95">
        <v>4</v>
      </c>
      <c r="J56" s="95">
        <v>3</v>
      </c>
      <c r="K56" s="95">
        <v>4</v>
      </c>
      <c r="L56" s="95">
        <v>3</v>
      </c>
      <c r="M56" s="95">
        <v>9</v>
      </c>
      <c r="N56" s="97">
        <f t="shared" si="2"/>
        <v>66</v>
      </c>
      <c r="O56" t="s">
        <v>134</v>
      </c>
    </row>
    <row r="57" spans="1:15" ht="15" customHeight="1" x14ac:dyDescent="0.35">
      <c r="A57" s="237"/>
      <c r="B57" s="95" t="s">
        <v>22</v>
      </c>
      <c r="C57" s="100">
        <v>2</v>
      </c>
      <c r="D57" s="95">
        <v>3</v>
      </c>
      <c r="E57" s="95">
        <v>1</v>
      </c>
      <c r="F57" s="95">
        <v>4</v>
      </c>
      <c r="G57" s="95">
        <v>2</v>
      </c>
      <c r="H57" s="95">
        <v>4</v>
      </c>
      <c r="I57" s="95">
        <v>4</v>
      </c>
      <c r="J57" s="95">
        <v>4</v>
      </c>
      <c r="K57" s="95">
        <v>4</v>
      </c>
      <c r="L57" s="95">
        <v>4</v>
      </c>
      <c r="M57" s="95">
        <v>9</v>
      </c>
      <c r="N57" s="97">
        <f t="shared" si="2"/>
        <v>79</v>
      </c>
      <c r="O57" t="s">
        <v>134</v>
      </c>
    </row>
    <row r="58" spans="1:15" ht="15" customHeight="1" x14ac:dyDescent="0.35">
      <c r="A58" s="237"/>
      <c r="B58" s="95" t="s">
        <v>23</v>
      </c>
      <c r="C58" s="100">
        <v>2</v>
      </c>
      <c r="D58" s="95">
        <v>2</v>
      </c>
      <c r="E58" s="95">
        <v>1</v>
      </c>
      <c r="F58" s="95">
        <v>4</v>
      </c>
      <c r="G58" s="95">
        <v>2</v>
      </c>
      <c r="H58" s="95">
        <v>4</v>
      </c>
      <c r="I58" s="95">
        <v>4</v>
      </c>
      <c r="J58" s="95">
        <v>2</v>
      </c>
      <c r="K58" s="95">
        <v>4</v>
      </c>
      <c r="L58" s="95">
        <v>2</v>
      </c>
      <c r="M58" s="95">
        <v>9</v>
      </c>
      <c r="N58" s="97">
        <f t="shared" si="2"/>
        <v>52</v>
      </c>
      <c r="O58" t="s">
        <v>134</v>
      </c>
    </row>
    <row r="59" spans="1:15" ht="15" customHeight="1" x14ac:dyDescent="0.35">
      <c r="A59" s="237"/>
      <c r="B59" s="95" t="s">
        <v>26</v>
      </c>
      <c r="C59" s="100">
        <v>2</v>
      </c>
      <c r="D59" s="95">
        <v>5</v>
      </c>
      <c r="E59" s="95">
        <v>1</v>
      </c>
      <c r="F59" s="95">
        <v>3</v>
      </c>
      <c r="G59" s="95">
        <v>2</v>
      </c>
      <c r="H59" s="95">
        <v>4</v>
      </c>
      <c r="I59" s="95">
        <v>4</v>
      </c>
      <c r="J59" s="95">
        <v>4</v>
      </c>
      <c r="K59" s="95">
        <v>4</v>
      </c>
      <c r="L59" s="95">
        <v>4</v>
      </c>
      <c r="M59" s="95">
        <v>9</v>
      </c>
      <c r="N59" s="97">
        <f t="shared" si="2"/>
        <v>79</v>
      </c>
      <c r="O59" t="s">
        <v>134</v>
      </c>
    </row>
    <row r="60" spans="1:15" ht="15" customHeight="1" x14ac:dyDescent="0.35">
      <c r="A60" s="238"/>
      <c r="B60" s="98" t="s">
        <v>27</v>
      </c>
      <c r="C60" s="103">
        <v>2</v>
      </c>
      <c r="D60" s="98">
        <v>4</v>
      </c>
      <c r="E60" s="98">
        <v>1</v>
      </c>
      <c r="F60" s="98">
        <v>4</v>
      </c>
      <c r="G60" s="98">
        <v>2</v>
      </c>
      <c r="H60" s="98">
        <v>4</v>
      </c>
      <c r="I60" s="98">
        <v>4</v>
      </c>
      <c r="J60" s="98">
        <v>4</v>
      </c>
      <c r="K60" s="98">
        <v>4</v>
      </c>
      <c r="L60" s="98">
        <v>4</v>
      </c>
      <c r="M60" s="98">
        <v>9</v>
      </c>
      <c r="N60" s="99">
        <f t="shared" si="2"/>
        <v>80</v>
      </c>
      <c r="O60" t="s">
        <v>134</v>
      </c>
    </row>
    <row r="61" spans="1:15" ht="15" customHeight="1" x14ac:dyDescent="0.35">
      <c r="A61" s="233">
        <v>3</v>
      </c>
      <c r="B61" s="48" t="s">
        <v>10</v>
      </c>
      <c r="C61" s="102">
        <v>2</v>
      </c>
      <c r="D61" s="48">
        <v>4.5</v>
      </c>
      <c r="E61" s="48">
        <v>1</v>
      </c>
      <c r="F61" s="48">
        <v>5</v>
      </c>
      <c r="G61" s="48">
        <v>2</v>
      </c>
      <c r="H61" s="48">
        <v>5</v>
      </c>
      <c r="I61" s="48">
        <v>4</v>
      </c>
      <c r="J61" s="48">
        <v>4</v>
      </c>
      <c r="K61" s="48">
        <v>4</v>
      </c>
      <c r="L61" s="48">
        <v>4.5</v>
      </c>
      <c r="M61" s="48">
        <v>9</v>
      </c>
      <c r="N61" s="96">
        <f t="shared" si="2"/>
        <v>91</v>
      </c>
      <c r="O61" t="s">
        <v>134</v>
      </c>
    </row>
    <row r="62" spans="1:15" ht="15" customHeight="1" x14ac:dyDescent="0.35">
      <c r="A62" s="234"/>
      <c r="B62" s="95" t="s">
        <v>16</v>
      </c>
      <c r="C62" s="100">
        <v>2</v>
      </c>
      <c r="D62" s="95">
        <v>5</v>
      </c>
      <c r="E62" s="95">
        <v>1</v>
      </c>
      <c r="F62" s="95">
        <v>5</v>
      </c>
      <c r="G62" s="95">
        <v>2</v>
      </c>
      <c r="H62" s="95">
        <v>4.5</v>
      </c>
      <c r="I62" s="95">
        <v>4</v>
      </c>
      <c r="J62" s="95">
        <v>4.5</v>
      </c>
      <c r="K62" s="95">
        <v>4</v>
      </c>
      <c r="L62" s="95">
        <v>4</v>
      </c>
      <c r="M62" s="95">
        <v>9</v>
      </c>
      <c r="N62" s="97">
        <f t="shared" si="2"/>
        <v>87</v>
      </c>
      <c r="O62" t="s">
        <v>134</v>
      </c>
    </row>
    <row r="63" spans="1:15" ht="15" customHeight="1" x14ac:dyDescent="0.35">
      <c r="A63" s="234"/>
      <c r="B63" s="95" t="s">
        <v>18</v>
      </c>
      <c r="C63" s="100">
        <v>2</v>
      </c>
      <c r="D63" s="95">
        <v>2</v>
      </c>
      <c r="E63" s="95">
        <v>1</v>
      </c>
      <c r="F63" s="95">
        <v>4</v>
      </c>
      <c r="G63" s="95">
        <v>2</v>
      </c>
      <c r="H63" s="95">
        <v>3</v>
      </c>
      <c r="I63" s="95">
        <v>4</v>
      </c>
      <c r="J63" s="95">
        <v>3.5</v>
      </c>
      <c r="K63" s="95">
        <v>4</v>
      </c>
      <c r="L63" s="95">
        <v>3.5</v>
      </c>
      <c r="M63" s="95">
        <v>9</v>
      </c>
      <c r="N63" s="97">
        <f t="shared" si="2"/>
        <v>67.5</v>
      </c>
      <c r="O63" t="s">
        <v>134</v>
      </c>
    </row>
    <row r="64" spans="1:15" ht="15" customHeight="1" x14ac:dyDescent="0.35">
      <c r="A64" s="234"/>
      <c r="B64" s="95" t="s">
        <v>20</v>
      </c>
      <c r="C64" s="100">
        <v>2</v>
      </c>
      <c r="D64" s="95">
        <v>4</v>
      </c>
      <c r="E64" s="95">
        <v>1</v>
      </c>
      <c r="F64" s="95">
        <v>5</v>
      </c>
      <c r="G64" s="95">
        <v>2</v>
      </c>
      <c r="H64" s="95">
        <v>4</v>
      </c>
      <c r="I64" s="95">
        <v>4</v>
      </c>
      <c r="J64" s="95">
        <v>4.5</v>
      </c>
      <c r="K64" s="95">
        <v>4</v>
      </c>
      <c r="L64" s="95">
        <v>4.5</v>
      </c>
      <c r="M64" s="95">
        <v>9</v>
      </c>
      <c r="N64" s="97">
        <f t="shared" si="2"/>
        <v>88.5</v>
      </c>
      <c r="O64" t="s">
        <v>134</v>
      </c>
    </row>
    <row r="65" spans="1:15" ht="15" customHeight="1" x14ac:dyDescent="0.35">
      <c r="A65" s="234"/>
      <c r="B65" s="95" t="s">
        <v>21</v>
      </c>
      <c r="C65" s="100">
        <v>2</v>
      </c>
      <c r="D65" s="95">
        <v>1.5</v>
      </c>
      <c r="E65" s="95">
        <v>1</v>
      </c>
      <c r="F65" s="95">
        <v>4</v>
      </c>
      <c r="G65" s="95">
        <v>2</v>
      </c>
      <c r="H65" s="95">
        <v>2.5</v>
      </c>
      <c r="I65" s="95">
        <v>4</v>
      </c>
      <c r="J65" s="95">
        <v>4</v>
      </c>
      <c r="K65" s="95">
        <v>4</v>
      </c>
      <c r="L65" s="95">
        <v>4</v>
      </c>
      <c r="M65" s="95">
        <v>9</v>
      </c>
      <c r="N65" s="97">
        <f t="shared" si="2"/>
        <v>71.5</v>
      </c>
      <c r="O65" t="s">
        <v>134</v>
      </c>
    </row>
    <row r="66" spans="1:15" ht="15" customHeight="1" x14ac:dyDescent="0.35">
      <c r="A66" s="234"/>
      <c r="B66" s="95" t="s">
        <v>22</v>
      </c>
      <c r="C66" s="100">
        <v>2</v>
      </c>
      <c r="D66" s="95">
        <v>4.5</v>
      </c>
      <c r="E66" s="95">
        <v>1</v>
      </c>
      <c r="F66" s="95">
        <v>5</v>
      </c>
      <c r="G66" s="95">
        <v>2</v>
      </c>
      <c r="H66" s="95">
        <v>4.5</v>
      </c>
      <c r="I66" s="95">
        <v>4</v>
      </c>
      <c r="J66" s="95">
        <v>3</v>
      </c>
      <c r="K66" s="95">
        <v>4</v>
      </c>
      <c r="L66" s="95">
        <v>4</v>
      </c>
      <c r="M66" s="95">
        <v>9</v>
      </c>
      <c r="N66" s="97">
        <f t="shared" si="2"/>
        <v>80.5</v>
      </c>
      <c r="O66" t="s">
        <v>134</v>
      </c>
    </row>
    <row r="67" spans="1:15" ht="15" customHeight="1" x14ac:dyDescent="0.35">
      <c r="A67" s="234"/>
      <c r="B67" s="95" t="s">
        <v>23</v>
      </c>
      <c r="C67" s="100">
        <v>2</v>
      </c>
      <c r="D67" s="95">
        <v>4.5</v>
      </c>
      <c r="E67" s="95">
        <v>1</v>
      </c>
      <c r="F67" s="95">
        <v>4</v>
      </c>
      <c r="G67" s="95">
        <v>2</v>
      </c>
      <c r="H67" s="95">
        <v>4</v>
      </c>
      <c r="I67" s="95">
        <v>4</v>
      </c>
      <c r="J67" s="95">
        <v>3.5</v>
      </c>
      <c r="K67" s="95">
        <v>4</v>
      </c>
      <c r="L67" s="95">
        <v>3.5</v>
      </c>
      <c r="M67" s="95">
        <v>9</v>
      </c>
      <c r="N67" s="97">
        <f t="shared" si="2"/>
        <v>74</v>
      </c>
      <c r="O67" t="s">
        <v>134</v>
      </c>
    </row>
    <row r="68" spans="1:15" ht="15" customHeight="1" x14ac:dyDescent="0.35">
      <c r="A68" s="234"/>
      <c r="B68" s="95" t="s">
        <v>26</v>
      </c>
      <c r="C68" s="100">
        <v>2</v>
      </c>
      <c r="D68" s="95">
        <v>4</v>
      </c>
      <c r="E68" s="95">
        <v>1</v>
      </c>
      <c r="F68" s="95">
        <v>3.5</v>
      </c>
      <c r="G68" s="95">
        <v>2</v>
      </c>
      <c r="H68" s="95">
        <v>4</v>
      </c>
      <c r="I68" s="95">
        <v>4</v>
      </c>
      <c r="J68" s="95">
        <v>4</v>
      </c>
      <c r="K68" s="95">
        <v>4</v>
      </c>
      <c r="L68" s="95">
        <v>4</v>
      </c>
      <c r="M68" s="95">
        <v>9</v>
      </c>
      <c r="N68" s="97">
        <f t="shared" si="2"/>
        <v>79</v>
      </c>
      <c r="O68" t="s">
        <v>134</v>
      </c>
    </row>
    <row r="69" spans="1:15" ht="15" customHeight="1" x14ac:dyDescent="0.35">
      <c r="A69" s="235"/>
      <c r="B69" s="98" t="s">
        <v>27</v>
      </c>
      <c r="C69" s="103">
        <v>2</v>
      </c>
      <c r="D69" s="98">
        <v>3.5</v>
      </c>
      <c r="E69" s="98">
        <v>1</v>
      </c>
      <c r="F69" s="98">
        <v>4</v>
      </c>
      <c r="G69" s="98">
        <v>2</v>
      </c>
      <c r="H69" s="98">
        <v>4</v>
      </c>
      <c r="I69" s="98">
        <v>4</v>
      </c>
      <c r="J69" s="98">
        <v>3.5</v>
      </c>
      <c r="K69" s="98">
        <v>4</v>
      </c>
      <c r="L69" s="98">
        <v>3.5</v>
      </c>
      <c r="M69" s="98">
        <v>9</v>
      </c>
      <c r="N69" s="99">
        <f t="shared" si="2"/>
        <v>73</v>
      </c>
      <c r="O69" t="s">
        <v>134</v>
      </c>
    </row>
    <row r="70" spans="1:15" ht="15" customHeight="1" x14ac:dyDescent="0.35">
      <c r="A70" s="233">
        <v>4</v>
      </c>
      <c r="B70" s="48" t="s">
        <v>10</v>
      </c>
      <c r="C70" s="102">
        <v>2</v>
      </c>
      <c r="D70" s="48">
        <v>5</v>
      </c>
      <c r="E70" s="48">
        <v>1</v>
      </c>
      <c r="F70" s="48">
        <v>5</v>
      </c>
      <c r="G70" s="48">
        <v>2</v>
      </c>
      <c r="H70" s="48">
        <v>5</v>
      </c>
      <c r="I70" s="48">
        <v>4</v>
      </c>
      <c r="J70" s="48">
        <v>5</v>
      </c>
      <c r="K70" s="48">
        <v>4</v>
      </c>
      <c r="L70" s="48">
        <v>5</v>
      </c>
      <c r="M70" s="48">
        <v>9</v>
      </c>
      <c r="N70" s="96">
        <f t="shared" ref="N70:N105" si="3">D70*E70+F70*G70+H70*I70+J70*K70+L70*M70</f>
        <v>100</v>
      </c>
      <c r="O70" t="s">
        <v>134</v>
      </c>
    </row>
    <row r="71" spans="1:15" ht="15" customHeight="1" x14ac:dyDescent="0.35">
      <c r="A71" s="234"/>
      <c r="B71" s="95" t="s">
        <v>16</v>
      </c>
      <c r="C71" s="100">
        <v>2</v>
      </c>
      <c r="D71" s="95">
        <v>5</v>
      </c>
      <c r="E71" s="95">
        <v>1</v>
      </c>
      <c r="F71" s="95">
        <v>4.5</v>
      </c>
      <c r="G71" s="95">
        <v>2</v>
      </c>
      <c r="H71" s="95">
        <v>5</v>
      </c>
      <c r="I71" s="95">
        <v>4</v>
      </c>
      <c r="J71" s="95">
        <v>5</v>
      </c>
      <c r="K71" s="95">
        <v>4</v>
      </c>
      <c r="L71" s="95">
        <v>4</v>
      </c>
      <c r="M71" s="95">
        <v>9</v>
      </c>
      <c r="N71" s="97">
        <f t="shared" si="3"/>
        <v>90</v>
      </c>
      <c r="O71" t="s">
        <v>134</v>
      </c>
    </row>
    <row r="72" spans="1:15" ht="15" customHeight="1" x14ac:dyDescent="0.35">
      <c r="A72" s="234"/>
      <c r="B72" s="95" t="s">
        <v>18</v>
      </c>
      <c r="C72" s="100">
        <v>2</v>
      </c>
      <c r="D72" s="95">
        <v>3</v>
      </c>
      <c r="E72" s="95">
        <v>1</v>
      </c>
      <c r="F72" s="95">
        <v>3</v>
      </c>
      <c r="G72" s="95">
        <v>2</v>
      </c>
      <c r="H72" s="95">
        <v>3</v>
      </c>
      <c r="I72" s="95">
        <v>4</v>
      </c>
      <c r="J72" s="95">
        <v>2</v>
      </c>
      <c r="K72" s="95">
        <v>4</v>
      </c>
      <c r="L72" s="95">
        <v>1</v>
      </c>
      <c r="M72" s="95">
        <v>9</v>
      </c>
      <c r="N72" s="97">
        <f t="shared" si="3"/>
        <v>38</v>
      </c>
      <c r="O72" t="s">
        <v>134</v>
      </c>
    </row>
    <row r="73" spans="1:15" ht="15" customHeight="1" x14ac:dyDescent="0.35">
      <c r="A73" s="234"/>
      <c r="B73" s="95" t="s">
        <v>20</v>
      </c>
      <c r="C73" s="100">
        <v>2</v>
      </c>
      <c r="D73" s="95">
        <v>4</v>
      </c>
      <c r="E73" s="95">
        <v>1</v>
      </c>
      <c r="F73" s="95">
        <v>5</v>
      </c>
      <c r="G73" s="95">
        <v>2</v>
      </c>
      <c r="H73" s="95">
        <v>4.5</v>
      </c>
      <c r="I73" s="95">
        <v>4</v>
      </c>
      <c r="J73" s="95">
        <v>4</v>
      </c>
      <c r="K73" s="95">
        <v>4</v>
      </c>
      <c r="L73" s="95">
        <v>4.5</v>
      </c>
      <c r="M73" s="95">
        <v>9</v>
      </c>
      <c r="N73" s="97">
        <f t="shared" si="3"/>
        <v>88.5</v>
      </c>
      <c r="O73" t="s">
        <v>134</v>
      </c>
    </row>
    <row r="74" spans="1:15" ht="15" customHeight="1" x14ac:dyDescent="0.35">
      <c r="A74" s="234"/>
      <c r="B74" s="95" t="s">
        <v>21</v>
      </c>
      <c r="C74" s="100">
        <v>2</v>
      </c>
      <c r="D74" s="95">
        <v>3</v>
      </c>
      <c r="E74" s="95">
        <v>1</v>
      </c>
      <c r="F74" s="95">
        <v>3</v>
      </c>
      <c r="G74" s="95">
        <v>2</v>
      </c>
      <c r="H74" s="95">
        <v>3</v>
      </c>
      <c r="I74" s="95">
        <v>4</v>
      </c>
      <c r="J74" s="95">
        <v>3</v>
      </c>
      <c r="K74" s="95">
        <v>4</v>
      </c>
      <c r="L74" s="95">
        <v>3.5</v>
      </c>
      <c r="M74" s="95">
        <v>9</v>
      </c>
      <c r="N74" s="97">
        <f t="shared" si="3"/>
        <v>64.5</v>
      </c>
      <c r="O74" t="s">
        <v>134</v>
      </c>
    </row>
    <row r="75" spans="1:15" ht="15" customHeight="1" x14ac:dyDescent="0.35">
      <c r="A75" s="234"/>
      <c r="B75" s="95" t="s">
        <v>22</v>
      </c>
      <c r="C75" s="100">
        <v>2</v>
      </c>
      <c r="D75" s="95">
        <v>5</v>
      </c>
      <c r="E75" s="95">
        <v>1</v>
      </c>
      <c r="F75" s="95">
        <v>4</v>
      </c>
      <c r="G75" s="95">
        <v>2</v>
      </c>
      <c r="H75" s="95">
        <v>4</v>
      </c>
      <c r="I75" s="95">
        <v>4</v>
      </c>
      <c r="J75" s="95">
        <v>4.5</v>
      </c>
      <c r="K75" s="95">
        <v>4</v>
      </c>
      <c r="L75" s="95">
        <v>3</v>
      </c>
      <c r="M75" s="95">
        <v>9</v>
      </c>
      <c r="N75" s="97">
        <f t="shared" si="3"/>
        <v>74</v>
      </c>
      <c r="O75" t="s">
        <v>134</v>
      </c>
    </row>
    <row r="76" spans="1:15" ht="15" customHeight="1" x14ac:dyDescent="0.35">
      <c r="A76" s="234"/>
      <c r="B76" s="95" t="s">
        <v>23</v>
      </c>
      <c r="C76" s="100">
        <v>2</v>
      </c>
      <c r="D76" s="95">
        <v>4</v>
      </c>
      <c r="E76" s="95">
        <v>1</v>
      </c>
      <c r="F76" s="95">
        <v>3</v>
      </c>
      <c r="G76" s="95">
        <v>2</v>
      </c>
      <c r="H76" s="95">
        <v>3.5</v>
      </c>
      <c r="I76" s="95">
        <v>4</v>
      </c>
      <c r="J76" s="95">
        <v>3.5</v>
      </c>
      <c r="K76" s="95">
        <v>4</v>
      </c>
      <c r="L76" s="95">
        <v>3</v>
      </c>
      <c r="M76" s="95">
        <v>9</v>
      </c>
      <c r="N76" s="97">
        <f t="shared" si="3"/>
        <v>65</v>
      </c>
      <c r="O76" t="s">
        <v>134</v>
      </c>
    </row>
    <row r="77" spans="1:15" ht="15" customHeight="1" x14ac:dyDescent="0.35">
      <c r="A77" s="234"/>
      <c r="B77" s="95" t="s">
        <v>26</v>
      </c>
      <c r="C77" s="100">
        <v>2</v>
      </c>
      <c r="D77" s="95">
        <v>4</v>
      </c>
      <c r="E77" s="95">
        <v>1</v>
      </c>
      <c r="F77" s="95">
        <v>4</v>
      </c>
      <c r="G77" s="95">
        <v>2</v>
      </c>
      <c r="H77" s="95">
        <v>4</v>
      </c>
      <c r="I77" s="95">
        <v>4</v>
      </c>
      <c r="J77" s="95">
        <v>4.5</v>
      </c>
      <c r="K77" s="95">
        <v>4</v>
      </c>
      <c r="L77" s="95">
        <v>4</v>
      </c>
      <c r="M77" s="95">
        <v>9</v>
      </c>
      <c r="N77" s="97">
        <f t="shared" si="3"/>
        <v>82</v>
      </c>
      <c r="O77" t="s">
        <v>134</v>
      </c>
    </row>
    <row r="78" spans="1:15" ht="15" customHeight="1" x14ac:dyDescent="0.35">
      <c r="A78" s="235"/>
      <c r="B78" s="98" t="s">
        <v>27</v>
      </c>
      <c r="C78" s="103">
        <v>2</v>
      </c>
      <c r="D78" s="98">
        <v>3</v>
      </c>
      <c r="E78" s="98">
        <v>1</v>
      </c>
      <c r="F78" s="98">
        <v>3</v>
      </c>
      <c r="G78" s="98">
        <v>2</v>
      </c>
      <c r="H78" s="98">
        <v>3</v>
      </c>
      <c r="I78" s="98">
        <v>4</v>
      </c>
      <c r="J78" s="98">
        <v>3.5</v>
      </c>
      <c r="K78" s="98">
        <v>4</v>
      </c>
      <c r="L78" s="98">
        <v>4</v>
      </c>
      <c r="M78" s="98">
        <v>9</v>
      </c>
      <c r="N78" s="99">
        <f t="shared" si="3"/>
        <v>71</v>
      </c>
      <c r="O78" t="s">
        <v>134</v>
      </c>
    </row>
    <row r="79" spans="1:15" ht="15" customHeight="1" x14ac:dyDescent="0.35">
      <c r="A79" s="233">
        <v>5</v>
      </c>
      <c r="B79" s="48" t="s">
        <v>10</v>
      </c>
      <c r="C79" s="102">
        <v>2</v>
      </c>
      <c r="D79" s="48">
        <v>5</v>
      </c>
      <c r="E79" s="48">
        <v>1</v>
      </c>
      <c r="F79" s="48">
        <v>5</v>
      </c>
      <c r="G79" s="48">
        <v>2</v>
      </c>
      <c r="H79" s="48">
        <v>4</v>
      </c>
      <c r="I79" s="48">
        <v>4</v>
      </c>
      <c r="J79" s="48">
        <v>3.5</v>
      </c>
      <c r="K79" s="48">
        <v>4</v>
      </c>
      <c r="L79" s="48">
        <v>3.5</v>
      </c>
      <c r="M79" s="48">
        <v>9</v>
      </c>
      <c r="N79" s="96">
        <f t="shared" si="3"/>
        <v>76.5</v>
      </c>
      <c r="O79" t="s">
        <v>134</v>
      </c>
    </row>
    <row r="80" spans="1:15" ht="15" customHeight="1" x14ac:dyDescent="0.35">
      <c r="A80" s="234"/>
      <c r="B80" s="95" t="s">
        <v>16</v>
      </c>
      <c r="C80" s="100">
        <v>2</v>
      </c>
      <c r="D80" s="95">
        <v>5</v>
      </c>
      <c r="E80" s="95">
        <v>1</v>
      </c>
      <c r="F80" s="95">
        <v>4</v>
      </c>
      <c r="G80" s="95">
        <v>2</v>
      </c>
      <c r="H80" s="95">
        <v>4.5</v>
      </c>
      <c r="I80" s="95">
        <v>4</v>
      </c>
      <c r="J80" s="95">
        <v>4</v>
      </c>
      <c r="K80" s="95">
        <v>4</v>
      </c>
      <c r="L80" s="95">
        <v>3</v>
      </c>
      <c r="M80" s="95">
        <v>9</v>
      </c>
      <c r="N80" s="97">
        <f t="shared" si="3"/>
        <v>74</v>
      </c>
      <c r="O80" t="s">
        <v>134</v>
      </c>
    </row>
    <row r="81" spans="1:15" ht="15" customHeight="1" x14ac:dyDescent="0.35">
      <c r="A81" s="234"/>
      <c r="B81" s="95" t="s">
        <v>18</v>
      </c>
      <c r="C81" s="100">
        <v>2</v>
      </c>
      <c r="D81" s="95">
        <v>4</v>
      </c>
      <c r="E81" s="95">
        <v>1</v>
      </c>
      <c r="F81" s="95">
        <v>3</v>
      </c>
      <c r="G81" s="95">
        <v>2</v>
      </c>
      <c r="H81" s="95">
        <v>3.5</v>
      </c>
      <c r="I81" s="95">
        <v>4</v>
      </c>
      <c r="J81" s="95">
        <v>3</v>
      </c>
      <c r="K81" s="95">
        <v>4</v>
      </c>
      <c r="L81" s="95">
        <v>2.5</v>
      </c>
      <c r="M81" s="95">
        <v>9</v>
      </c>
      <c r="N81" s="97">
        <f t="shared" si="3"/>
        <v>58.5</v>
      </c>
      <c r="O81" t="s">
        <v>134</v>
      </c>
    </row>
    <row r="82" spans="1:15" ht="15" customHeight="1" x14ac:dyDescent="0.35">
      <c r="A82" s="234"/>
      <c r="B82" s="95" t="s">
        <v>20</v>
      </c>
      <c r="C82" s="100">
        <v>2</v>
      </c>
      <c r="D82" s="95">
        <v>5</v>
      </c>
      <c r="E82" s="95">
        <v>1</v>
      </c>
      <c r="F82" s="95">
        <v>4</v>
      </c>
      <c r="G82" s="95">
        <v>2</v>
      </c>
      <c r="H82" s="95">
        <v>4</v>
      </c>
      <c r="I82" s="95">
        <v>4</v>
      </c>
      <c r="J82" s="95">
        <v>4</v>
      </c>
      <c r="K82" s="95">
        <v>4</v>
      </c>
      <c r="L82" s="95">
        <v>4</v>
      </c>
      <c r="M82" s="95">
        <v>9</v>
      </c>
      <c r="N82" s="97">
        <f t="shared" si="3"/>
        <v>81</v>
      </c>
      <c r="O82" t="s">
        <v>134</v>
      </c>
    </row>
    <row r="83" spans="1:15" ht="15" customHeight="1" x14ac:dyDescent="0.35">
      <c r="A83" s="234"/>
      <c r="B83" s="95" t="s">
        <v>21</v>
      </c>
      <c r="C83" s="100">
        <v>2</v>
      </c>
      <c r="D83" s="95">
        <v>3</v>
      </c>
      <c r="E83" s="95">
        <v>1</v>
      </c>
      <c r="F83" s="95">
        <v>3</v>
      </c>
      <c r="G83" s="95">
        <v>2</v>
      </c>
      <c r="H83" s="95">
        <v>2</v>
      </c>
      <c r="I83" s="95">
        <v>4</v>
      </c>
      <c r="J83" s="95">
        <v>2</v>
      </c>
      <c r="K83" s="95">
        <v>4</v>
      </c>
      <c r="L83" s="95">
        <v>2</v>
      </c>
      <c r="M83" s="95">
        <v>9</v>
      </c>
      <c r="N83" s="97">
        <f t="shared" si="3"/>
        <v>43</v>
      </c>
      <c r="O83" t="s">
        <v>134</v>
      </c>
    </row>
    <row r="84" spans="1:15" ht="15" customHeight="1" x14ac:dyDescent="0.35">
      <c r="A84" s="234"/>
      <c r="B84" s="95" t="s">
        <v>22</v>
      </c>
      <c r="C84" s="100">
        <v>2</v>
      </c>
      <c r="D84" s="95">
        <v>5</v>
      </c>
      <c r="E84" s="95">
        <v>1</v>
      </c>
      <c r="F84" s="95">
        <v>4.5</v>
      </c>
      <c r="G84" s="95">
        <v>2</v>
      </c>
      <c r="H84" s="95">
        <v>4.5</v>
      </c>
      <c r="I84" s="95">
        <v>4</v>
      </c>
      <c r="J84" s="95">
        <v>3</v>
      </c>
      <c r="K84" s="95">
        <v>4</v>
      </c>
      <c r="L84" s="95">
        <v>2</v>
      </c>
      <c r="M84" s="95">
        <v>9</v>
      </c>
      <c r="N84" s="97">
        <f t="shared" si="3"/>
        <v>62</v>
      </c>
      <c r="O84" t="s">
        <v>134</v>
      </c>
    </row>
    <row r="85" spans="1:15" ht="15" customHeight="1" x14ac:dyDescent="0.35">
      <c r="A85" s="234"/>
      <c r="B85" s="95" t="s">
        <v>23</v>
      </c>
      <c r="C85" s="100">
        <v>2</v>
      </c>
      <c r="D85" s="95">
        <v>4</v>
      </c>
      <c r="E85" s="95">
        <v>1</v>
      </c>
      <c r="F85" s="95">
        <v>4</v>
      </c>
      <c r="G85" s="95">
        <v>2</v>
      </c>
      <c r="H85" s="95">
        <v>3.5</v>
      </c>
      <c r="I85" s="95">
        <v>4</v>
      </c>
      <c r="J85" s="95">
        <v>3</v>
      </c>
      <c r="K85" s="95">
        <v>4</v>
      </c>
      <c r="L85" s="95">
        <v>3.5</v>
      </c>
      <c r="M85" s="95">
        <v>9</v>
      </c>
      <c r="N85" s="97">
        <f t="shared" si="3"/>
        <v>69.5</v>
      </c>
      <c r="O85" t="s">
        <v>134</v>
      </c>
    </row>
    <row r="86" spans="1:15" ht="15" customHeight="1" x14ac:dyDescent="0.35">
      <c r="A86" s="234"/>
      <c r="B86" s="95" t="s">
        <v>26</v>
      </c>
      <c r="C86" s="100">
        <v>2</v>
      </c>
      <c r="D86" s="95">
        <v>3</v>
      </c>
      <c r="E86" s="95">
        <v>1</v>
      </c>
      <c r="F86" s="95">
        <v>3</v>
      </c>
      <c r="G86" s="95">
        <v>2</v>
      </c>
      <c r="H86" s="95">
        <v>3</v>
      </c>
      <c r="I86" s="95">
        <v>4</v>
      </c>
      <c r="J86" s="95">
        <v>2</v>
      </c>
      <c r="K86" s="95">
        <v>4</v>
      </c>
      <c r="L86" s="95">
        <v>3.5</v>
      </c>
      <c r="M86" s="95">
        <v>9</v>
      </c>
      <c r="N86" s="97">
        <f t="shared" si="3"/>
        <v>60.5</v>
      </c>
      <c r="O86" t="s">
        <v>134</v>
      </c>
    </row>
    <row r="87" spans="1:15" ht="15" customHeight="1" x14ac:dyDescent="0.35">
      <c r="A87" s="235"/>
      <c r="B87" s="98" t="s">
        <v>27</v>
      </c>
      <c r="C87" s="103">
        <v>2</v>
      </c>
      <c r="D87" s="98">
        <v>2</v>
      </c>
      <c r="E87" s="98">
        <v>1</v>
      </c>
      <c r="F87" s="98">
        <v>4</v>
      </c>
      <c r="G87" s="98">
        <v>2</v>
      </c>
      <c r="H87" s="98">
        <v>3</v>
      </c>
      <c r="I87" s="98">
        <v>4</v>
      </c>
      <c r="J87" s="98">
        <v>3</v>
      </c>
      <c r="K87" s="98">
        <v>4</v>
      </c>
      <c r="L87" s="98">
        <v>2.5</v>
      </c>
      <c r="M87" s="98">
        <v>9</v>
      </c>
      <c r="N87" s="99">
        <f t="shared" si="3"/>
        <v>56.5</v>
      </c>
      <c r="O87" t="s">
        <v>134</v>
      </c>
    </row>
    <row r="88" spans="1:15" ht="15" customHeight="1" x14ac:dyDescent="0.35">
      <c r="A88" s="233">
        <v>6</v>
      </c>
      <c r="B88" s="48" t="s">
        <v>10</v>
      </c>
      <c r="C88" s="102">
        <v>2</v>
      </c>
      <c r="D88" s="48">
        <v>3.5</v>
      </c>
      <c r="E88" s="48">
        <v>1</v>
      </c>
      <c r="F88" s="48">
        <v>3.5</v>
      </c>
      <c r="G88" s="48">
        <v>2</v>
      </c>
      <c r="H88" s="48">
        <v>4</v>
      </c>
      <c r="I88" s="48">
        <v>4</v>
      </c>
      <c r="J88" s="48">
        <v>4</v>
      </c>
      <c r="K88" s="48">
        <v>4</v>
      </c>
      <c r="L88" s="48">
        <v>4</v>
      </c>
      <c r="M88" s="48">
        <v>9</v>
      </c>
      <c r="N88" s="96">
        <f t="shared" si="3"/>
        <v>78.5</v>
      </c>
      <c r="O88" t="s">
        <v>134</v>
      </c>
    </row>
    <row r="89" spans="1:15" ht="15" customHeight="1" x14ac:dyDescent="0.35">
      <c r="A89" s="234"/>
      <c r="B89" s="95" t="s">
        <v>16</v>
      </c>
      <c r="C89" s="100">
        <v>2</v>
      </c>
      <c r="D89" s="95">
        <v>3</v>
      </c>
      <c r="E89" s="95">
        <v>1</v>
      </c>
      <c r="F89" s="95">
        <v>4</v>
      </c>
      <c r="G89" s="95">
        <v>2</v>
      </c>
      <c r="H89" s="95">
        <v>4</v>
      </c>
      <c r="I89" s="95">
        <v>4</v>
      </c>
      <c r="J89" s="95">
        <v>4</v>
      </c>
      <c r="K89" s="95">
        <v>4</v>
      </c>
      <c r="L89" s="95">
        <v>3</v>
      </c>
      <c r="M89" s="95">
        <v>9</v>
      </c>
      <c r="N89" s="97">
        <f t="shared" si="3"/>
        <v>70</v>
      </c>
      <c r="O89" t="s">
        <v>134</v>
      </c>
    </row>
    <row r="90" spans="1:15" ht="15" customHeight="1" x14ac:dyDescent="0.35">
      <c r="A90" s="234"/>
      <c r="B90" s="95" t="s">
        <v>18</v>
      </c>
      <c r="C90" s="100">
        <v>2</v>
      </c>
      <c r="D90" s="95">
        <v>2.5</v>
      </c>
      <c r="E90" s="95">
        <v>1</v>
      </c>
      <c r="F90" s="95">
        <v>2.5</v>
      </c>
      <c r="G90" s="95">
        <v>2</v>
      </c>
      <c r="H90" s="95">
        <v>3</v>
      </c>
      <c r="I90" s="95">
        <v>4</v>
      </c>
      <c r="J90" s="95">
        <v>3.5</v>
      </c>
      <c r="K90" s="95">
        <v>4</v>
      </c>
      <c r="L90" s="95">
        <v>2</v>
      </c>
      <c r="M90" s="95">
        <v>9</v>
      </c>
      <c r="N90" s="97">
        <f t="shared" si="3"/>
        <v>51.5</v>
      </c>
      <c r="O90" t="s">
        <v>134</v>
      </c>
    </row>
    <row r="91" spans="1:15" ht="15" customHeight="1" x14ac:dyDescent="0.35">
      <c r="A91" s="234"/>
      <c r="B91" s="95" t="s">
        <v>20</v>
      </c>
      <c r="C91" s="100">
        <v>2</v>
      </c>
      <c r="D91" s="95">
        <v>4</v>
      </c>
      <c r="E91" s="95">
        <v>1</v>
      </c>
      <c r="F91" s="95">
        <v>3.5</v>
      </c>
      <c r="G91" s="95">
        <v>2</v>
      </c>
      <c r="H91" s="95">
        <v>4</v>
      </c>
      <c r="I91" s="95">
        <v>4</v>
      </c>
      <c r="J91" s="95">
        <v>4.5</v>
      </c>
      <c r="K91" s="95">
        <v>4</v>
      </c>
      <c r="L91" s="95">
        <v>4.5</v>
      </c>
      <c r="M91" s="95">
        <v>9</v>
      </c>
      <c r="N91" s="97">
        <f t="shared" si="3"/>
        <v>85.5</v>
      </c>
      <c r="O91" t="s">
        <v>134</v>
      </c>
    </row>
    <row r="92" spans="1:15" ht="15" customHeight="1" x14ac:dyDescent="0.35">
      <c r="A92" s="234"/>
      <c r="B92" s="95" t="s">
        <v>21</v>
      </c>
      <c r="C92" s="100">
        <v>2</v>
      </c>
      <c r="D92" s="95">
        <v>2</v>
      </c>
      <c r="E92" s="95">
        <v>1</v>
      </c>
      <c r="F92" s="95">
        <v>2</v>
      </c>
      <c r="G92" s="95">
        <v>2</v>
      </c>
      <c r="H92" s="95">
        <v>2.5</v>
      </c>
      <c r="I92" s="95">
        <v>4</v>
      </c>
      <c r="J92" s="95">
        <v>3</v>
      </c>
      <c r="K92" s="95">
        <v>4</v>
      </c>
      <c r="L92" s="95">
        <v>3.5</v>
      </c>
      <c r="M92" s="95">
        <v>9</v>
      </c>
      <c r="N92" s="97">
        <f t="shared" si="3"/>
        <v>59.5</v>
      </c>
      <c r="O92" t="s">
        <v>134</v>
      </c>
    </row>
    <row r="93" spans="1:15" ht="15" customHeight="1" x14ac:dyDescent="0.35">
      <c r="A93" s="234"/>
      <c r="B93" s="95" t="s">
        <v>22</v>
      </c>
      <c r="C93" s="100">
        <v>2</v>
      </c>
      <c r="D93" s="95">
        <v>4</v>
      </c>
      <c r="E93" s="95">
        <v>1</v>
      </c>
      <c r="F93" s="95">
        <v>4</v>
      </c>
      <c r="G93" s="95">
        <v>2</v>
      </c>
      <c r="H93" s="95">
        <v>3.5</v>
      </c>
      <c r="I93" s="95">
        <v>4</v>
      </c>
      <c r="J93" s="95">
        <v>4</v>
      </c>
      <c r="K93" s="95">
        <v>4</v>
      </c>
      <c r="L93" s="95">
        <v>4</v>
      </c>
      <c r="M93" s="95">
        <v>9</v>
      </c>
      <c r="N93" s="97">
        <f t="shared" si="3"/>
        <v>78</v>
      </c>
      <c r="O93" t="s">
        <v>134</v>
      </c>
    </row>
    <row r="94" spans="1:15" ht="15" customHeight="1" x14ac:dyDescent="0.35">
      <c r="A94" s="234"/>
      <c r="B94" s="95" t="s">
        <v>23</v>
      </c>
      <c r="C94" s="100">
        <v>2</v>
      </c>
      <c r="D94" s="95">
        <v>3.5</v>
      </c>
      <c r="E94" s="95">
        <v>1</v>
      </c>
      <c r="F94" s="95">
        <v>3</v>
      </c>
      <c r="G94" s="95">
        <v>2</v>
      </c>
      <c r="H94" s="95">
        <v>2.5</v>
      </c>
      <c r="I94" s="95">
        <v>4</v>
      </c>
      <c r="J94" s="95">
        <v>3.5</v>
      </c>
      <c r="K94" s="95">
        <v>4</v>
      </c>
      <c r="L94" s="95">
        <v>3.5</v>
      </c>
      <c r="M94" s="95">
        <v>9</v>
      </c>
      <c r="N94" s="97">
        <f t="shared" si="3"/>
        <v>65</v>
      </c>
      <c r="O94" t="s">
        <v>134</v>
      </c>
    </row>
    <row r="95" spans="1:15" ht="15" customHeight="1" x14ac:dyDescent="0.35">
      <c r="A95" s="234"/>
      <c r="B95" s="95" t="s">
        <v>26</v>
      </c>
      <c r="C95" s="100">
        <v>2</v>
      </c>
      <c r="D95" s="95">
        <v>3</v>
      </c>
      <c r="E95" s="95">
        <v>1</v>
      </c>
      <c r="F95" s="95">
        <v>3.5</v>
      </c>
      <c r="G95" s="95">
        <v>2</v>
      </c>
      <c r="H95" s="95">
        <v>3.5</v>
      </c>
      <c r="I95" s="95">
        <v>4</v>
      </c>
      <c r="J95" s="95">
        <v>3.5</v>
      </c>
      <c r="K95" s="95">
        <v>4</v>
      </c>
      <c r="L95" s="95">
        <v>3.5</v>
      </c>
      <c r="M95" s="95">
        <v>9</v>
      </c>
      <c r="N95" s="97">
        <f t="shared" si="3"/>
        <v>69.5</v>
      </c>
      <c r="O95" t="s">
        <v>134</v>
      </c>
    </row>
    <row r="96" spans="1:15" ht="15" customHeight="1" x14ac:dyDescent="0.35">
      <c r="A96" s="235"/>
      <c r="B96" s="98" t="s">
        <v>27</v>
      </c>
      <c r="C96" s="103">
        <v>2</v>
      </c>
      <c r="D96" s="98">
        <v>2</v>
      </c>
      <c r="E96" s="98">
        <v>1</v>
      </c>
      <c r="F96" s="98">
        <v>2</v>
      </c>
      <c r="G96" s="98">
        <v>2</v>
      </c>
      <c r="H96" s="98">
        <v>2.5</v>
      </c>
      <c r="I96" s="98">
        <v>4</v>
      </c>
      <c r="J96" s="98">
        <v>2</v>
      </c>
      <c r="K96" s="98">
        <v>4</v>
      </c>
      <c r="L96" s="98">
        <v>2</v>
      </c>
      <c r="M96" s="98">
        <v>9</v>
      </c>
      <c r="N96" s="99">
        <f t="shared" si="3"/>
        <v>42</v>
      </c>
      <c r="O96" t="s">
        <v>134</v>
      </c>
    </row>
    <row r="97" spans="1:15" ht="15" customHeight="1" x14ac:dyDescent="0.35">
      <c r="A97" s="233">
        <v>7</v>
      </c>
      <c r="B97" s="48" t="s">
        <v>10</v>
      </c>
      <c r="C97" s="102">
        <v>2</v>
      </c>
      <c r="D97" s="48">
        <v>5</v>
      </c>
      <c r="E97" s="48">
        <v>1</v>
      </c>
      <c r="F97" s="48">
        <v>5</v>
      </c>
      <c r="G97" s="48">
        <v>2</v>
      </c>
      <c r="H97" s="48">
        <v>5</v>
      </c>
      <c r="I97" s="48">
        <v>4</v>
      </c>
      <c r="J97" s="48">
        <v>5</v>
      </c>
      <c r="K97" s="48">
        <v>4</v>
      </c>
      <c r="L97" s="48">
        <v>4</v>
      </c>
      <c r="M97" s="48">
        <v>9</v>
      </c>
      <c r="N97" s="96">
        <f t="shared" si="3"/>
        <v>91</v>
      </c>
      <c r="O97" t="s">
        <v>134</v>
      </c>
    </row>
    <row r="98" spans="1:15" ht="15" customHeight="1" x14ac:dyDescent="0.35">
      <c r="A98" s="234"/>
      <c r="B98" s="95" t="s">
        <v>16</v>
      </c>
      <c r="C98" s="100">
        <v>2</v>
      </c>
      <c r="D98" s="95">
        <v>5</v>
      </c>
      <c r="E98" s="95">
        <v>1</v>
      </c>
      <c r="F98" s="95">
        <v>5</v>
      </c>
      <c r="G98" s="95">
        <v>2</v>
      </c>
      <c r="H98" s="95">
        <v>3</v>
      </c>
      <c r="I98" s="95">
        <v>4</v>
      </c>
      <c r="J98" s="95">
        <v>4</v>
      </c>
      <c r="K98" s="95">
        <v>4</v>
      </c>
      <c r="L98" s="95">
        <v>3</v>
      </c>
      <c r="M98" s="95">
        <v>9</v>
      </c>
      <c r="N98" s="97">
        <f t="shared" si="3"/>
        <v>70</v>
      </c>
      <c r="O98" t="s">
        <v>134</v>
      </c>
    </row>
    <row r="99" spans="1:15" ht="15" customHeight="1" x14ac:dyDescent="0.35">
      <c r="A99" s="234"/>
      <c r="B99" s="95" t="s">
        <v>18</v>
      </c>
      <c r="C99" s="100">
        <v>2</v>
      </c>
      <c r="D99" s="95">
        <v>3</v>
      </c>
      <c r="E99" s="95">
        <v>1</v>
      </c>
      <c r="F99" s="95">
        <v>4</v>
      </c>
      <c r="G99" s="95">
        <v>2</v>
      </c>
      <c r="H99" s="95">
        <v>2</v>
      </c>
      <c r="I99" s="95">
        <v>4</v>
      </c>
      <c r="J99" s="95">
        <v>4</v>
      </c>
      <c r="K99" s="95">
        <v>4</v>
      </c>
      <c r="L99" s="95">
        <v>2</v>
      </c>
      <c r="M99" s="95">
        <v>9</v>
      </c>
      <c r="N99" s="97">
        <f t="shared" si="3"/>
        <v>53</v>
      </c>
      <c r="O99" t="s">
        <v>134</v>
      </c>
    </row>
    <row r="100" spans="1:15" ht="15" customHeight="1" x14ac:dyDescent="0.35">
      <c r="A100" s="234"/>
      <c r="B100" s="95" t="s">
        <v>20</v>
      </c>
      <c r="C100" s="100">
        <v>2</v>
      </c>
      <c r="D100" s="95">
        <v>5</v>
      </c>
      <c r="E100" s="95">
        <v>1</v>
      </c>
      <c r="F100" s="95">
        <v>5</v>
      </c>
      <c r="G100" s="95">
        <v>2</v>
      </c>
      <c r="H100" s="95">
        <v>5</v>
      </c>
      <c r="I100" s="95">
        <v>4</v>
      </c>
      <c r="J100" s="95">
        <v>4</v>
      </c>
      <c r="K100" s="95">
        <v>4</v>
      </c>
      <c r="L100" s="95">
        <v>4.5</v>
      </c>
      <c r="M100" s="95">
        <v>9</v>
      </c>
      <c r="N100" s="97">
        <f t="shared" si="3"/>
        <v>91.5</v>
      </c>
      <c r="O100" t="s">
        <v>134</v>
      </c>
    </row>
    <row r="101" spans="1:15" ht="15" customHeight="1" x14ac:dyDescent="0.35">
      <c r="A101" s="234"/>
      <c r="B101" s="95" t="s">
        <v>21</v>
      </c>
      <c r="C101" s="100">
        <v>2</v>
      </c>
      <c r="D101" s="95">
        <v>3</v>
      </c>
      <c r="E101" s="95">
        <v>1</v>
      </c>
      <c r="F101" s="95">
        <v>4</v>
      </c>
      <c r="G101" s="95">
        <v>2</v>
      </c>
      <c r="H101" s="95">
        <v>2</v>
      </c>
      <c r="I101" s="95">
        <v>4</v>
      </c>
      <c r="J101" s="95">
        <v>3</v>
      </c>
      <c r="K101" s="95">
        <v>4</v>
      </c>
      <c r="L101" s="95">
        <v>4.5</v>
      </c>
      <c r="M101" s="95">
        <v>9</v>
      </c>
      <c r="N101" s="97">
        <f t="shared" si="3"/>
        <v>71.5</v>
      </c>
      <c r="O101" t="s">
        <v>134</v>
      </c>
    </row>
    <row r="102" spans="1:15" ht="15" customHeight="1" x14ac:dyDescent="0.35">
      <c r="A102" s="234"/>
      <c r="B102" s="95" t="s">
        <v>22</v>
      </c>
      <c r="C102" s="100">
        <v>2</v>
      </c>
      <c r="D102" s="95">
        <v>4</v>
      </c>
      <c r="E102" s="95">
        <v>1</v>
      </c>
      <c r="F102" s="95">
        <v>5</v>
      </c>
      <c r="G102" s="95">
        <v>2</v>
      </c>
      <c r="H102" s="95">
        <v>3</v>
      </c>
      <c r="I102" s="95">
        <v>4</v>
      </c>
      <c r="J102" s="95">
        <v>4</v>
      </c>
      <c r="K102" s="95">
        <v>4</v>
      </c>
      <c r="L102" s="95">
        <v>3</v>
      </c>
      <c r="M102" s="95">
        <v>9</v>
      </c>
      <c r="N102" s="97">
        <f t="shared" si="3"/>
        <v>69</v>
      </c>
      <c r="O102" t="s">
        <v>134</v>
      </c>
    </row>
    <row r="103" spans="1:15" ht="15" customHeight="1" x14ac:dyDescent="0.35">
      <c r="A103" s="234"/>
      <c r="B103" s="95" t="s">
        <v>23</v>
      </c>
      <c r="C103" s="100">
        <v>2</v>
      </c>
      <c r="D103" s="95">
        <v>4</v>
      </c>
      <c r="E103" s="95">
        <v>1</v>
      </c>
      <c r="F103" s="95">
        <v>4</v>
      </c>
      <c r="G103" s="95">
        <v>2</v>
      </c>
      <c r="H103" s="95">
        <v>2</v>
      </c>
      <c r="I103" s="95">
        <v>4</v>
      </c>
      <c r="J103" s="95">
        <v>4</v>
      </c>
      <c r="K103" s="95">
        <v>4</v>
      </c>
      <c r="L103" s="95">
        <v>3</v>
      </c>
      <c r="M103" s="95">
        <v>9</v>
      </c>
      <c r="N103" s="97">
        <f t="shared" si="3"/>
        <v>63</v>
      </c>
      <c r="O103" t="s">
        <v>134</v>
      </c>
    </row>
    <row r="104" spans="1:15" ht="15" customHeight="1" x14ac:dyDescent="0.35">
      <c r="A104" s="234"/>
      <c r="B104" s="95" t="s">
        <v>26</v>
      </c>
      <c r="C104" s="100">
        <v>2</v>
      </c>
      <c r="D104" s="95">
        <v>4</v>
      </c>
      <c r="E104" s="95">
        <v>1</v>
      </c>
      <c r="F104" s="95">
        <v>4</v>
      </c>
      <c r="G104" s="95">
        <v>2</v>
      </c>
      <c r="H104" s="95">
        <v>4</v>
      </c>
      <c r="I104" s="95">
        <v>4</v>
      </c>
      <c r="J104" s="95">
        <v>4</v>
      </c>
      <c r="K104" s="95">
        <v>4</v>
      </c>
      <c r="L104" s="95">
        <v>4</v>
      </c>
      <c r="M104" s="95">
        <v>9</v>
      </c>
      <c r="N104" s="97">
        <f t="shared" si="3"/>
        <v>80</v>
      </c>
      <c r="O104" t="s">
        <v>134</v>
      </c>
    </row>
    <row r="105" spans="1:15" ht="15" customHeight="1" x14ac:dyDescent="0.35">
      <c r="A105" s="235"/>
      <c r="B105" s="98" t="s">
        <v>27</v>
      </c>
      <c r="C105" s="103">
        <v>2</v>
      </c>
      <c r="D105" s="98">
        <v>4</v>
      </c>
      <c r="E105" s="98">
        <v>1</v>
      </c>
      <c r="F105" s="98">
        <v>5</v>
      </c>
      <c r="G105" s="98">
        <v>2</v>
      </c>
      <c r="H105" s="98">
        <v>3</v>
      </c>
      <c r="I105" s="98">
        <v>4</v>
      </c>
      <c r="J105" s="98">
        <v>4</v>
      </c>
      <c r="K105" s="98">
        <v>4</v>
      </c>
      <c r="L105" s="98">
        <v>4</v>
      </c>
      <c r="M105" s="98">
        <v>9</v>
      </c>
      <c r="N105" s="99">
        <f t="shared" si="3"/>
        <v>78</v>
      </c>
      <c r="O105" t="s">
        <v>134</v>
      </c>
    </row>
    <row r="106" spans="1:15" ht="15" customHeight="1" x14ac:dyDescent="0.35">
      <c r="A106" s="233">
        <v>8</v>
      </c>
      <c r="B106" s="48" t="s">
        <v>10</v>
      </c>
      <c r="C106" s="102">
        <v>2</v>
      </c>
      <c r="D106" s="48">
        <v>3</v>
      </c>
      <c r="E106" s="48">
        <v>1</v>
      </c>
      <c r="F106" s="48">
        <v>3</v>
      </c>
      <c r="G106" s="48">
        <v>2</v>
      </c>
      <c r="H106" s="48">
        <v>3</v>
      </c>
      <c r="I106" s="48">
        <v>4</v>
      </c>
      <c r="J106" s="48">
        <v>3</v>
      </c>
      <c r="K106" s="48">
        <v>4</v>
      </c>
      <c r="L106" s="48">
        <v>3</v>
      </c>
      <c r="M106" s="48">
        <v>9</v>
      </c>
      <c r="N106" s="96">
        <f t="shared" ref="N106:N114" si="4">D106*E106+F106*G106+H106*I106+J106*K106+L106*M106</f>
        <v>60</v>
      </c>
      <c r="O106" t="s">
        <v>134</v>
      </c>
    </row>
    <row r="107" spans="1:15" ht="15" customHeight="1" x14ac:dyDescent="0.35">
      <c r="A107" s="234"/>
      <c r="B107" s="95" t="s">
        <v>16</v>
      </c>
      <c r="C107" s="100">
        <v>2</v>
      </c>
      <c r="D107" s="95">
        <v>4.5</v>
      </c>
      <c r="E107" s="95">
        <v>1</v>
      </c>
      <c r="F107" s="95">
        <v>4</v>
      </c>
      <c r="G107" s="95">
        <v>2</v>
      </c>
      <c r="H107" s="95">
        <v>4</v>
      </c>
      <c r="I107" s="95">
        <v>4</v>
      </c>
      <c r="J107" s="95">
        <v>4</v>
      </c>
      <c r="K107" s="95">
        <v>4</v>
      </c>
      <c r="L107" s="95">
        <v>3.5</v>
      </c>
      <c r="M107" s="95">
        <v>9</v>
      </c>
      <c r="N107" s="97">
        <f t="shared" si="4"/>
        <v>76</v>
      </c>
      <c r="O107" t="s">
        <v>134</v>
      </c>
    </row>
    <row r="108" spans="1:15" ht="15" customHeight="1" x14ac:dyDescent="0.35">
      <c r="A108" s="234"/>
      <c r="B108" s="95" t="s">
        <v>18</v>
      </c>
      <c r="C108" s="100">
        <v>2</v>
      </c>
      <c r="D108" s="95">
        <v>3.5</v>
      </c>
      <c r="E108" s="95">
        <v>1</v>
      </c>
      <c r="F108" s="95">
        <v>3</v>
      </c>
      <c r="G108" s="95">
        <v>2</v>
      </c>
      <c r="H108" s="95">
        <v>4</v>
      </c>
      <c r="I108" s="95">
        <v>4</v>
      </c>
      <c r="J108" s="95">
        <v>4</v>
      </c>
      <c r="K108" s="95">
        <v>4</v>
      </c>
      <c r="L108" s="95">
        <v>4</v>
      </c>
      <c r="M108" s="95">
        <v>9</v>
      </c>
      <c r="N108" s="97">
        <f t="shared" si="4"/>
        <v>77.5</v>
      </c>
      <c r="O108" t="s">
        <v>134</v>
      </c>
    </row>
    <row r="109" spans="1:15" ht="15" customHeight="1" x14ac:dyDescent="0.35">
      <c r="A109" s="234"/>
      <c r="B109" s="95" t="s">
        <v>20</v>
      </c>
      <c r="C109" s="100">
        <v>2</v>
      </c>
      <c r="D109" s="95">
        <v>4</v>
      </c>
      <c r="E109" s="95">
        <v>1</v>
      </c>
      <c r="F109" s="95">
        <v>3</v>
      </c>
      <c r="G109" s="95">
        <v>2</v>
      </c>
      <c r="H109" s="95">
        <v>3</v>
      </c>
      <c r="I109" s="95">
        <v>4</v>
      </c>
      <c r="J109" s="95">
        <v>3</v>
      </c>
      <c r="K109" s="95">
        <v>4</v>
      </c>
      <c r="L109" s="95">
        <v>4</v>
      </c>
      <c r="M109" s="95">
        <v>9</v>
      </c>
      <c r="N109" s="97">
        <f t="shared" si="4"/>
        <v>70</v>
      </c>
      <c r="O109" t="s">
        <v>134</v>
      </c>
    </row>
    <row r="110" spans="1:15" ht="15" customHeight="1" x14ac:dyDescent="0.35">
      <c r="A110" s="234"/>
      <c r="B110" s="95" t="s">
        <v>21</v>
      </c>
      <c r="C110" s="100">
        <v>2</v>
      </c>
      <c r="D110" s="95">
        <v>2.5</v>
      </c>
      <c r="E110" s="95">
        <v>1</v>
      </c>
      <c r="F110" s="95">
        <v>3</v>
      </c>
      <c r="G110" s="95">
        <v>2</v>
      </c>
      <c r="H110" s="95">
        <v>3</v>
      </c>
      <c r="I110" s="95">
        <v>4</v>
      </c>
      <c r="J110" s="95">
        <v>2.5</v>
      </c>
      <c r="K110" s="95">
        <v>4</v>
      </c>
      <c r="L110" s="95">
        <v>4</v>
      </c>
      <c r="M110" s="95">
        <v>9</v>
      </c>
      <c r="N110" s="97">
        <f t="shared" si="4"/>
        <v>66.5</v>
      </c>
      <c r="O110" t="s">
        <v>134</v>
      </c>
    </row>
    <row r="111" spans="1:15" ht="15" customHeight="1" x14ac:dyDescent="0.35">
      <c r="A111" s="234"/>
      <c r="B111" s="95" t="s">
        <v>22</v>
      </c>
      <c r="C111" s="100">
        <v>2</v>
      </c>
      <c r="D111" s="95">
        <v>5</v>
      </c>
      <c r="E111" s="95">
        <v>1</v>
      </c>
      <c r="F111" s="95">
        <v>5</v>
      </c>
      <c r="G111" s="95">
        <v>2</v>
      </c>
      <c r="H111" s="95">
        <v>5</v>
      </c>
      <c r="I111" s="95">
        <v>4</v>
      </c>
      <c r="J111" s="95">
        <v>5</v>
      </c>
      <c r="K111" s="95">
        <v>4</v>
      </c>
      <c r="L111" s="95">
        <v>4.5</v>
      </c>
      <c r="M111" s="95">
        <v>9</v>
      </c>
      <c r="N111" s="97">
        <f t="shared" si="4"/>
        <v>95.5</v>
      </c>
      <c r="O111" t="s">
        <v>134</v>
      </c>
    </row>
    <row r="112" spans="1:15" ht="15" customHeight="1" x14ac:dyDescent="0.35">
      <c r="A112" s="234"/>
      <c r="B112" s="95" t="s">
        <v>23</v>
      </c>
      <c r="C112" s="100">
        <v>2</v>
      </c>
      <c r="D112" s="95">
        <v>5</v>
      </c>
      <c r="E112" s="95">
        <v>1</v>
      </c>
      <c r="F112" s="95">
        <v>5</v>
      </c>
      <c r="G112" s="95">
        <v>2</v>
      </c>
      <c r="H112" s="95">
        <v>5</v>
      </c>
      <c r="I112" s="95">
        <v>4</v>
      </c>
      <c r="J112" s="95">
        <v>5</v>
      </c>
      <c r="K112" s="95">
        <v>4</v>
      </c>
      <c r="L112" s="95">
        <v>5</v>
      </c>
      <c r="M112" s="95">
        <v>9</v>
      </c>
      <c r="N112" s="97">
        <f t="shared" si="4"/>
        <v>100</v>
      </c>
      <c r="O112" t="s">
        <v>134</v>
      </c>
    </row>
    <row r="113" spans="1:15" ht="15" customHeight="1" x14ac:dyDescent="0.35">
      <c r="A113" s="234"/>
      <c r="B113" s="95" t="s">
        <v>26</v>
      </c>
      <c r="C113" s="100">
        <v>2</v>
      </c>
      <c r="D113" s="95">
        <v>3</v>
      </c>
      <c r="E113" s="95">
        <v>1</v>
      </c>
      <c r="F113" s="95">
        <v>3</v>
      </c>
      <c r="G113" s="95">
        <v>2</v>
      </c>
      <c r="H113" s="95">
        <v>3</v>
      </c>
      <c r="I113" s="95">
        <v>4</v>
      </c>
      <c r="J113" s="95">
        <v>3</v>
      </c>
      <c r="K113" s="95">
        <v>4</v>
      </c>
      <c r="L113" s="95">
        <v>3</v>
      </c>
      <c r="M113" s="95">
        <v>9</v>
      </c>
      <c r="N113" s="97">
        <f t="shared" si="4"/>
        <v>60</v>
      </c>
      <c r="O113" t="s">
        <v>134</v>
      </c>
    </row>
    <row r="114" spans="1:15" ht="15" customHeight="1" x14ac:dyDescent="0.35">
      <c r="A114" s="235"/>
      <c r="B114" s="98" t="s">
        <v>27</v>
      </c>
      <c r="C114" s="103">
        <v>2</v>
      </c>
      <c r="D114" s="98">
        <v>3</v>
      </c>
      <c r="E114" s="98">
        <v>1</v>
      </c>
      <c r="F114" s="98">
        <v>3</v>
      </c>
      <c r="G114" s="98">
        <v>2</v>
      </c>
      <c r="H114" s="98">
        <v>3</v>
      </c>
      <c r="I114" s="98">
        <v>4</v>
      </c>
      <c r="J114" s="98">
        <v>3</v>
      </c>
      <c r="K114" s="98">
        <v>4</v>
      </c>
      <c r="L114" s="98">
        <v>4.5</v>
      </c>
      <c r="M114" s="98">
        <v>9</v>
      </c>
      <c r="N114" s="99">
        <f t="shared" si="4"/>
        <v>73.5</v>
      </c>
      <c r="O114" t="s">
        <v>134</v>
      </c>
    </row>
  </sheetData>
  <mergeCells count="22">
    <mergeCell ref="A106:A114"/>
    <mergeCell ref="A97:A105"/>
    <mergeCell ref="A88:A96"/>
    <mergeCell ref="A79:A87"/>
    <mergeCell ref="A70:A78"/>
    <mergeCell ref="A61:A69"/>
    <mergeCell ref="A52:A60"/>
    <mergeCell ref="A43:A51"/>
    <mergeCell ref="A28:A32"/>
    <mergeCell ref="A33:A37"/>
    <mergeCell ref="A38:A42"/>
    <mergeCell ref="A8:A12"/>
    <mergeCell ref="A13:A17"/>
    <mergeCell ref="A18:A22"/>
    <mergeCell ref="A23:A27"/>
    <mergeCell ref="J1:K1"/>
    <mergeCell ref="L1:M1"/>
    <mergeCell ref="A3:A7"/>
    <mergeCell ref="A1:A2"/>
    <mergeCell ref="D1:E1"/>
    <mergeCell ref="F1:G1"/>
    <mergeCell ref="H1:I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FB2D7-5EC4-414F-82C1-6AD3E638223C}">
  <dimension ref="A1:U28"/>
  <sheetViews>
    <sheetView workbookViewId="0">
      <selection activeCell="K1" sqref="K1:U11"/>
    </sheetView>
  </sheetViews>
  <sheetFormatPr defaultRowHeight="14.5" x14ac:dyDescent="0.35"/>
  <cols>
    <col min="1" max="1" width="5.1796875" customWidth="1"/>
    <col min="2" max="2" width="27.26953125" customWidth="1"/>
    <col min="3" max="8" width="13.7265625" customWidth="1"/>
    <col min="9" max="9" width="10.453125" style="89" bestFit="1" customWidth="1"/>
    <col min="11" max="11" width="22.81640625" customWidth="1"/>
  </cols>
  <sheetData>
    <row r="1" spans="1:21" s="88" customFormat="1" ht="42.75" customHeight="1" x14ac:dyDescent="0.35">
      <c r="A1" s="190" t="s">
        <v>31</v>
      </c>
      <c r="B1" s="190" t="s">
        <v>32</v>
      </c>
      <c r="C1" s="190" t="s">
        <v>123</v>
      </c>
      <c r="D1" s="190" t="s">
        <v>124</v>
      </c>
      <c r="E1" s="190" t="s">
        <v>125</v>
      </c>
      <c r="F1" s="190" t="s">
        <v>126</v>
      </c>
      <c r="G1" s="190" t="s">
        <v>127</v>
      </c>
      <c r="H1" s="190" t="s">
        <v>128</v>
      </c>
      <c r="I1" s="191" t="s">
        <v>45</v>
      </c>
      <c r="K1" s="192" t="s">
        <v>140</v>
      </c>
    </row>
    <row r="2" spans="1:21" x14ac:dyDescent="0.35">
      <c r="A2">
        <v>1</v>
      </c>
      <c r="B2" s="193" t="s">
        <v>10</v>
      </c>
      <c r="C2" t="s">
        <v>129</v>
      </c>
      <c r="D2" s="204">
        <v>41.45</v>
      </c>
      <c r="E2" s="204">
        <v>62.17</v>
      </c>
      <c r="F2">
        <v>822</v>
      </c>
      <c r="G2">
        <v>11.115</v>
      </c>
      <c r="H2">
        <v>3.7288999999999999</v>
      </c>
      <c r="I2" s="89">
        <v>46087</v>
      </c>
      <c r="K2" s="194" t="s">
        <v>141</v>
      </c>
      <c r="L2" s="195" t="s">
        <v>142</v>
      </c>
      <c r="M2" s="195" t="s">
        <v>143</v>
      </c>
      <c r="N2" s="195" t="s">
        <v>144</v>
      </c>
      <c r="O2" s="195" t="s">
        <v>145</v>
      </c>
      <c r="P2" s="195" t="s">
        <v>146</v>
      </c>
      <c r="Q2" s="195" t="s">
        <v>147</v>
      </c>
      <c r="R2" s="195" t="s">
        <v>148</v>
      </c>
      <c r="S2" s="195" t="s">
        <v>149</v>
      </c>
      <c r="T2" s="195" t="s">
        <v>150</v>
      </c>
      <c r="U2" s="195" t="s">
        <v>151</v>
      </c>
    </row>
    <row r="3" spans="1:21" x14ac:dyDescent="0.35">
      <c r="A3">
        <v>2</v>
      </c>
      <c r="B3" s="193" t="s">
        <v>16</v>
      </c>
      <c r="C3" t="s">
        <v>129</v>
      </c>
      <c r="D3" s="204">
        <v>26.25</v>
      </c>
      <c r="E3" s="204">
        <v>39.380000000000003</v>
      </c>
      <c r="F3">
        <v>569</v>
      </c>
      <c r="G3">
        <v>7.6379999999999999</v>
      </c>
      <c r="H3">
        <v>3.4373999999999998</v>
      </c>
      <c r="I3" s="89">
        <v>46087</v>
      </c>
      <c r="K3" s="196" t="s">
        <v>10</v>
      </c>
      <c r="L3" s="197">
        <f>AVERAGEIF($B$2:$B$28,$K3,D$2:D$28)</f>
        <v>41.48</v>
      </c>
      <c r="M3" s="197" cm="1">
        <f t="array" ref="M3">STDEV(IF($B$2:$B$28=$K3,D$2:D$28))</f>
        <v>2.9999999999997584E-2</v>
      </c>
      <c r="N3" s="197">
        <f>AVERAGEIF($B$2:$B$28,$K3,E$2:E$28)</f>
        <v>62.216666666666669</v>
      </c>
      <c r="O3" s="197" cm="1">
        <f t="array" ref="O3">STDEV(IF($B$2:$B$28=$K3,E$2:E$28))</f>
        <v>4.5092497528227068E-2</v>
      </c>
      <c r="P3" s="198">
        <f>AVERAGEIF($B$2:$B$28,$K3,F$2:F$28)</f>
        <v>812.33333333333337</v>
      </c>
      <c r="Q3" s="198" cm="1">
        <f t="array" ref="Q3">STDEV(IF($B$2:$B$28=$K3,F$2:F$28))</f>
        <v>11.930353445448855</v>
      </c>
      <c r="R3" s="199">
        <f>AVERAGEIF($B$2:$B$28,$K3,G$2:G$28)</f>
        <v>11.033333333333333</v>
      </c>
      <c r="S3" s="199" cm="1">
        <f t="array" ref="S3">STDEV(IF($B$2:$B$28=$K3,G$2:G$28))</f>
        <v>7.1360586694150033E-2</v>
      </c>
      <c r="T3" s="199">
        <f>AVERAGEIF($B$2:$B$28,$K3,H$2:H$28)</f>
        <v>3.7596000000000003</v>
      </c>
      <c r="U3" s="199" cm="1">
        <f t="array" ref="U3">STDEV(IF($B$2:$B$28=$K3,H$2:H$28))</f>
        <v>2.6940489973272669E-2</v>
      </c>
    </row>
    <row r="4" spans="1:21" x14ac:dyDescent="0.35">
      <c r="A4">
        <v>3</v>
      </c>
      <c r="B4" s="193" t="s">
        <v>18</v>
      </c>
      <c r="C4" t="s">
        <v>129</v>
      </c>
      <c r="D4" s="204">
        <v>14.95</v>
      </c>
      <c r="E4" s="204">
        <v>22.42</v>
      </c>
      <c r="F4">
        <v>276</v>
      </c>
      <c r="G4">
        <v>4.2729999999999997</v>
      </c>
      <c r="H4">
        <v>3.4982000000000002</v>
      </c>
      <c r="I4" s="89">
        <v>46087</v>
      </c>
      <c r="K4" s="196" t="s">
        <v>16</v>
      </c>
      <c r="L4" s="197">
        <f t="shared" ref="L4:L11" si="0">AVERAGEIF($B$2:$B$28,$K4,D$2:D$28)</f>
        <v>25.733333333333334</v>
      </c>
      <c r="M4" s="197" cm="1">
        <f t="array" ref="M4">STDEV(IF($B$2:$B$28=$K4,D$2:D$28))</f>
        <v>0.45081407845511279</v>
      </c>
      <c r="N4" s="197">
        <f t="shared" ref="N4:N11" si="1">AVERAGEIF($B$2:$B$28,$K4,E$2:E$28)</f>
        <v>38.603333333333332</v>
      </c>
      <c r="O4" s="197" cm="1">
        <f t="array" ref="O4">STDEV(IF($B$2:$B$28=$K4,E$2:E$28))</f>
        <v>0.67796263417192471</v>
      </c>
      <c r="P4" s="198">
        <f t="shared" ref="P4:P11" si="2">AVERAGEIF($B$2:$B$28,$K4,F$2:F$28)</f>
        <v>574</v>
      </c>
      <c r="Q4" s="198" cm="1">
        <f t="array" ref="Q4">STDEV(IF($B$2:$B$28=$K4,F$2:F$28))</f>
        <v>8.6602540378443873</v>
      </c>
      <c r="R4" s="199">
        <f t="shared" ref="R4:R11" si="3">AVERAGEIF($B$2:$B$28,$K4,G$2:G$28)</f>
        <v>7.6126666666666667</v>
      </c>
      <c r="S4" s="199" cm="1">
        <f t="array" ref="S4">STDEV(IF($B$2:$B$28=$K4,G$2:G$28))</f>
        <v>9.2635486360969577E-2</v>
      </c>
      <c r="T4" s="199">
        <f t="shared" ref="T4:T11" si="4">AVERAGEIF($B$2:$B$28,$K4,H$2:H$28)</f>
        <v>3.3809</v>
      </c>
      <c r="U4" s="199" cm="1">
        <f t="array" ref="U4">STDEV(IF($B$2:$B$28=$K4,H$2:H$28))</f>
        <v>5.8657565581943356E-2</v>
      </c>
    </row>
    <row r="5" spans="1:21" x14ac:dyDescent="0.35">
      <c r="A5">
        <v>4</v>
      </c>
      <c r="B5" s="193" t="s">
        <v>20</v>
      </c>
      <c r="C5" t="s">
        <v>129</v>
      </c>
      <c r="D5" s="204">
        <v>28.16</v>
      </c>
      <c r="E5" s="204">
        <v>42.24</v>
      </c>
      <c r="F5">
        <v>633</v>
      </c>
      <c r="G5">
        <v>8.1</v>
      </c>
      <c r="H5">
        <v>3.4761000000000002</v>
      </c>
      <c r="I5" s="89">
        <v>46087</v>
      </c>
      <c r="K5" s="196" t="s">
        <v>18</v>
      </c>
      <c r="L5" s="197">
        <f t="shared" si="0"/>
        <v>19.66333333333333</v>
      </c>
      <c r="M5" s="197" cm="1">
        <f t="array" ref="M5">STDEV(IF($B$2:$B$28=$K5,D$2:D$28))</f>
        <v>5.4096333825254241</v>
      </c>
      <c r="N5" s="197">
        <f t="shared" si="1"/>
        <v>29.49666666666667</v>
      </c>
      <c r="O5" s="197" cm="1">
        <f t="array" ref="O5">STDEV(IF($B$2:$B$28=$K5,E$2:E$28))</f>
        <v>8.1188073836822223</v>
      </c>
      <c r="P5" s="198">
        <f t="shared" si="2"/>
        <v>386.66666666666669</v>
      </c>
      <c r="Q5" s="198" cm="1">
        <f t="array" ref="Q5">STDEV(IF($B$2:$B$28=$K5,F$2:F$28))</f>
        <v>96.173454410940977</v>
      </c>
      <c r="R5" s="199">
        <f t="shared" si="3"/>
        <v>6.0316666666666663</v>
      </c>
      <c r="S5" s="199" cm="1">
        <f t="array" ref="S5">STDEV(IF($B$2:$B$28=$K5,G$2:G$28))</f>
        <v>1.5314311389459663</v>
      </c>
      <c r="T5" s="199">
        <f t="shared" si="4"/>
        <v>3.2995999999999999</v>
      </c>
      <c r="U5" s="199" cm="1">
        <f t="array" ref="U5">STDEV(IF($B$2:$B$28=$K5,H$2:H$28))</f>
        <v>0.61215824751448245</v>
      </c>
    </row>
    <row r="6" spans="1:21" x14ac:dyDescent="0.35">
      <c r="A6">
        <v>5</v>
      </c>
      <c r="B6" s="193" t="s">
        <v>21</v>
      </c>
      <c r="C6" t="s">
        <v>129</v>
      </c>
      <c r="D6" s="204">
        <v>23.27</v>
      </c>
      <c r="E6" s="204">
        <v>34.909999999999997</v>
      </c>
      <c r="F6">
        <v>602</v>
      </c>
      <c r="G6">
        <v>9.6460000000000008</v>
      </c>
      <c r="H6">
        <v>2.4125000000000001</v>
      </c>
      <c r="I6" s="89">
        <v>46087</v>
      </c>
      <c r="K6" s="196" t="s">
        <v>20</v>
      </c>
      <c r="L6" s="197">
        <f t="shared" si="0"/>
        <v>27.823333333333334</v>
      </c>
      <c r="M6" s="197" cm="1">
        <f t="array" ref="M6">STDEV(IF($B$2:$B$28=$K6,D$2:D$28))</f>
        <v>1.8283963829906609</v>
      </c>
      <c r="N6" s="197">
        <f t="shared" si="1"/>
        <v>41.733333333333334</v>
      </c>
      <c r="O6" s="197" cm="1">
        <f t="array" ref="O6">STDEV(IF($B$2:$B$28=$K6,E$2:E$28))</f>
        <v>2.7452929412602436</v>
      </c>
      <c r="P6" s="198">
        <f t="shared" si="2"/>
        <v>640.33333333333337</v>
      </c>
      <c r="Q6" s="198" cm="1">
        <f t="array" ref="Q6">STDEV(IF($B$2:$B$28=$K6,F$2:F$28))</f>
        <v>57.352709904008314</v>
      </c>
      <c r="R6" s="199">
        <f t="shared" si="3"/>
        <v>8.1276666666666681</v>
      </c>
      <c r="S6" s="199" cm="1">
        <f t="array" ref="S6">STDEV(IF($B$2:$B$28=$K6,G$2:G$28))</f>
        <v>0.47510454989752859</v>
      </c>
      <c r="T6" s="199">
        <f t="shared" si="4"/>
        <v>3.4394666666666667</v>
      </c>
      <c r="U6" s="199" cm="1">
        <f t="array" ref="U6">STDEV(IF($B$2:$B$28=$K6,H$2:H$28))</f>
        <v>0.42234325297479691</v>
      </c>
    </row>
    <row r="7" spans="1:21" x14ac:dyDescent="0.35">
      <c r="A7">
        <v>6</v>
      </c>
      <c r="B7" s="193" t="s">
        <v>22</v>
      </c>
      <c r="C7" t="s">
        <v>129</v>
      </c>
      <c r="D7" s="204">
        <v>27.27</v>
      </c>
      <c r="E7" s="204">
        <v>40.909999999999997</v>
      </c>
      <c r="F7">
        <v>431</v>
      </c>
      <c r="G7">
        <v>5.1589999999999998</v>
      </c>
      <c r="H7">
        <v>5.2858000000000001</v>
      </c>
      <c r="I7" s="89">
        <v>46087</v>
      </c>
      <c r="K7" s="196" t="s">
        <v>21</v>
      </c>
      <c r="L7" s="197">
        <f t="shared" si="0"/>
        <v>22.756666666666664</v>
      </c>
      <c r="M7" s="197" cm="1">
        <f t="array" ref="M7">STDEV(IF($B$2:$B$28=$K7,D$2:D$28))</f>
        <v>0.80407296517998628</v>
      </c>
      <c r="N7" s="197">
        <f t="shared" si="1"/>
        <v>34.136666666666663</v>
      </c>
      <c r="O7" s="197" cm="1">
        <f t="array" ref="O7">STDEV(IF($B$2:$B$28=$K7,E$2:E$28))</f>
        <v>1.203550303615653</v>
      </c>
      <c r="P7" s="198">
        <f t="shared" si="2"/>
        <v>585.33333333333337</v>
      </c>
      <c r="Q7" s="198" cm="1">
        <f t="array" ref="Q7">STDEV(IF($B$2:$B$28=$K7,F$2:F$28))</f>
        <v>21.548395145191982</v>
      </c>
      <c r="R7" s="199">
        <f t="shared" si="3"/>
        <v>9.729000000000001</v>
      </c>
      <c r="S7" s="199" cm="1">
        <f t="array" ref="S7">STDEV(IF($B$2:$B$28=$K7,G$2:G$28))</f>
        <v>0.21017373765530237</v>
      </c>
      <c r="T7" s="199">
        <f t="shared" si="4"/>
        <v>2.3410333333333333</v>
      </c>
      <c r="U7" s="199" cm="1">
        <f t="array" ref="U7">STDEV(IF($B$2:$B$28=$K7,H$2:H$28))</f>
        <v>0.13050909291437646</v>
      </c>
    </row>
    <row r="8" spans="1:21" x14ac:dyDescent="0.35">
      <c r="A8">
        <v>7</v>
      </c>
      <c r="B8" s="193" t="s">
        <v>23</v>
      </c>
      <c r="C8" t="s">
        <v>129</v>
      </c>
      <c r="D8" s="204">
        <v>21.89</v>
      </c>
      <c r="E8" s="204">
        <v>32.83</v>
      </c>
      <c r="F8">
        <v>550</v>
      </c>
      <c r="G8">
        <v>7.1710000000000003</v>
      </c>
      <c r="H8">
        <v>3.0522</v>
      </c>
      <c r="I8" s="89">
        <v>46087</v>
      </c>
      <c r="K8" s="196" t="s">
        <v>22</v>
      </c>
      <c r="L8" s="197">
        <f t="shared" si="0"/>
        <v>24.900000000000002</v>
      </c>
      <c r="M8" s="197" cm="1">
        <f t="array" ref="M8">STDEV(IF($B$2:$B$28=$K8,D$2:D$28))</f>
        <v>2.6303421830628801</v>
      </c>
      <c r="N8" s="197">
        <f t="shared" si="1"/>
        <v>37.353333333333332</v>
      </c>
      <c r="O8" s="197" cm="1">
        <f t="array" ref="O8">STDEV(IF($B$2:$B$28=$K8,E$2:E$28))</f>
        <v>3.9513331083740981</v>
      </c>
      <c r="P8" s="198">
        <f t="shared" si="2"/>
        <v>506</v>
      </c>
      <c r="Q8" s="198" cm="1">
        <f t="array" ref="Q8">STDEV(IF($B$2:$B$28=$K8,F$2:F$28))</f>
        <v>142.20056258679148</v>
      </c>
      <c r="R8" s="199">
        <f t="shared" si="3"/>
        <v>5.1096666666666666</v>
      </c>
      <c r="S8" s="199" cm="1">
        <f t="array" ref="S8">STDEV(IF($B$2:$B$28=$K8,G$2:G$28))</f>
        <v>0.13969371257624064</v>
      </c>
      <c r="T8" s="199">
        <f t="shared" si="4"/>
        <v>4.8789000000000007</v>
      </c>
      <c r="U8" s="199" cm="1">
        <f t="array" ref="U8">STDEV(IF($B$2:$B$28=$K8,H$2:H$28))</f>
        <v>0.56915728054730164</v>
      </c>
    </row>
    <row r="9" spans="1:21" x14ac:dyDescent="0.35">
      <c r="A9">
        <v>8</v>
      </c>
      <c r="B9" s="193" t="s">
        <v>26</v>
      </c>
      <c r="C9" t="s">
        <v>129</v>
      </c>
      <c r="D9" s="204">
        <v>15.16</v>
      </c>
      <c r="E9" s="204">
        <v>22.75</v>
      </c>
      <c r="F9">
        <v>647</v>
      </c>
      <c r="G9">
        <v>9.9870000000000001</v>
      </c>
      <c r="H9">
        <v>1.5183</v>
      </c>
      <c r="I9" s="89">
        <v>46087</v>
      </c>
      <c r="K9" s="196" t="s">
        <v>23</v>
      </c>
      <c r="L9" s="197">
        <f t="shared" si="0"/>
        <v>19.386666666666667</v>
      </c>
      <c r="M9" s="197" cm="1">
        <f t="array" ref="M9">STDEV(IF($B$2:$B$28=$K9,D$2:D$28))</f>
        <v>2.7274591350436999</v>
      </c>
      <c r="N9" s="197">
        <f t="shared" si="1"/>
        <v>29.076666666666664</v>
      </c>
      <c r="O9" s="197" cm="1">
        <f t="array" ref="O9">STDEV(IF($B$2:$B$28=$K9,E$2:E$28))</f>
        <v>4.0885245912594925</v>
      </c>
      <c r="P9" s="198">
        <f t="shared" si="2"/>
        <v>565.66666666666663</v>
      </c>
      <c r="Q9" s="198" cm="1">
        <f t="array" ref="Q9">STDEV(IF($B$2:$B$28=$K9,F$2:F$28))</f>
        <v>17.7857620959388</v>
      </c>
      <c r="R9" s="199">
        <f t="shared" si="3"/>
        <v>7.4269999999999996</v>
      </c>
      <c r="S9" s="199" cm="1">
        <f t="array" ref="S9">STDEV(IF($B$2:$B$28=$K9,G$2:G$28))</f>
        <v>0.22260278524762439</v>
      </c>
      <c r="T9" s="199">
        <f t="shared" si="4"/>
        <v>2.6173999999999999</v>
      </c>
      <c r="U9" s="199" cm="1">
        <f t="array" ref="U9">STDEV(IF($B$2:$B$28=$K9,H$2:H$28))</f>
        <v>0.43246915496946137</v>
      </c>
    </row>
    <row r="10" spans="1:21" x14ac:dyDescent="0.35">
      <c r="A10">
        <v>9</v>
      </c>
      <c r="B10" s="193" t="s">
        <v>27</v>
      </c>
      <c r="C10" t="s">
        <v>129</v>
      </c>
      <c r="D10" s="204">
        <v>19.72</v>
      </c>
      <c r="E10" s="204">
        <v>29.58</v>
      </c>
      <c r="F10">
        <v>690</v>
      </c>
      <c r="G10">
        <v>9.9730000000000008</v>
      </c>
      <c r="H10">
        <v>1.9770000000000001</v>
      </c>
      <c r="I10" s="89">
        <v>46087</v>
      </c>
      <c r="K10" s="196" t="s">
        <v>26</v>
      </c>
      <c r="L10" s="197">
        <f t="shared" si="0"/>
        <v>16.200000000000003</v>
      </c>
      <c r="M10" s="197" cm="1">
        <f t="array" ref="M10">STDEV(IF($B$2:$B$28=$K10,D$2:D$28))</f>
        <v>1.0991360243391177</v>
      </c>
      <c r="N10" s="197">
        <f t="shared" si="1"/>
        <v>24.299999999999997</v>
      </c>
      <c r="O10" s="197" cm="1">
        <f t="array" ref="O10">STDEV(IF($B$2:$B$28=$K10,E$2:E$28))</f>
        <v>1.6416150584104665</v>
      </c>
      <c r="P10" s="198">
        <f t="shared" si="2"/>
        <v>673.33333333333337</v>
      </c>
      <c r="Q10" s="198" cm="1">
        <f t="array" ref="Q10">STDEV(IF($B$2:$B$28=$K10,F$2:F$28))</f>
        <v>34.961884007206095</v>
      </c>
      <c r="R10" s="199">
        <f t="shared" si="3"/>
        <v>9.8780000000000001</v>
      </c>
      <c r="S10" s="199" cm="1">
        <f t="array" ref="S10">STDEV(IF($B$2:$B$28=$K10,G$2:G$28))</f>
        <v>0.11781765572273113</v>
      </c>
      <c r="T10" s="199">
        <f t="shared" si="4"/>
        <v>1.6402666666666665</v>
      </c>
      <c r="U10" s="199" cm="1">
        <f t="array" ref="U10">STDEV(IF($B$2:$B$28=$K10,H$2:H$28))</f>
        <v>0.11771025160678804</v>
      </c>
    </row>
    <row r="11" spans="1:21" x14ac:dyDescent="0.35">
      <c r="A11">
        <v>1</v>
      </c>
      <c r="B11" s="193" t="s">
        <v>10</v>
      </c>
      <c r="C11" t="s">
        <v>129</v>
      </c>
      <c r="D11" s="204">
        <v>41.48</v>
      </c>
      <c r="E11" s="204">
        <v>62.22</v>
      </c>
      <c r="F11">
        <v>799</v>
      </c>
      <c r="G11">
        <v>11.002000000000001</v>
      </c>
      <c r="H11">
        <v>3.7706</v>
      </c>
      <c r="I11" s="89">
        <v>46138</v>
      </c>
      <c r="K11" s="200" t="s">
        <v>27</v>
      </c>
      <c r="L11" s="201">
        <f t="shared" si="0"/>
        <v>22.683333333333334</v>
      </c>
      <c r="M11" s="201" cm="1">
        <f t="array" ref="M11">STDEV(IF($B$2:$B$28=$K11,D$2:D$28))</f>
        <v>2.8309068040706071</v>
      </c>
      <c r="N11" s="201">
        <f t="shared" si="1"/>
        <v>34.026666666666664</v>
      </c>
      <c r="O11" s="201" cm="1">
        <f t="array" ref="O11">STDEV(IF($B$2:$B$28=$K11,E$2:E$28))</f>
        <v>4.2508391328458064</v>
      </c>
      <c r="P11" s="202">
        <f t="shared" si="2"/>
        <v>676.66666666666663</v>
      </c>
      <c r="Q11" s="202" cm="1">
        <f t="array" ref="Q11">STDEV(IF($B$2:$B$28=$K11,F$2:F$28))</f>
        <v>18.147543451754931</v>
      </c>
      <c r="R11" s="203">
        <f t="shared" si="3"/>
        <v>9.7000000000000011</v>
      </c>
      <c r="S11" s="203" cm="1">
        <f t="array" ref="S11">STDEV(IF($B$2:$B$28=$K11,G$2:G$28))</f>
        <v>0.34517966336387834</v>
      </c>
      <c r="T11" s="203">
        <f t="shared" si="4"/>
        <v>2.3468666666666667</v>
      </c>
      <c r="U11" s="203" cm="1">
        <f t="array" ref="U11">STDEV(IF($B$2:$B$28=$K11,H$2:H$28))</f>
        <v>0.37339874575757737</v>
      </c>
    </row>
    <row r="12" spans="1:21" x14ac:dyDescent="0.35">
      <c r="A12">
        <v>2</v>
      </c>
      <c r="B12" s="193" t="s">
        <v>16</v>
      </c>
      <c r="C12" t="s">
        <v>129</v>
      </c>
      <c r="D12" s="204">
        <v>25.42</v>
      </c>
      <c r="E12" s="204">
        <v>38.130000000000003</v>
      </c>
      <c r="F12">
        <v>569</v>
      </c>
      <c r="G12">
        <v>7.51</v>
      </c>
      <c r="H12">
        <v>3.3849999999999998</v>
      </c>
      <c r="I12" s="89">
        <v>46138</v>
      </c>
    </row>
    <row r="13" spans="1:21" x14ac:dyDescent="0.35">
      <c r="A13">
        <v>3</v>
      </c>
      <c r="B13" s="193" t="s">
        <v>18</v>
      </c>
      <c r="C13" t="s">
        <v>129</v>
      </c>
      <c r="D13" s="204">
        <v>25.57</v>
      </c>
      <c r="E13" s="204">
        <v>38.36</v>
      </c>
      <c r="F13">
        <v>434</v>
      </c>
      <c r="G13">
        <v>6.7510000000000003</v>
      </c>
      <c r="H13">
        <v>3.7877999999999998</v>
      </c>
      <c r="I13" s="89">
        <v>46138</v>
      </c>
    </row>
    <row r="14" spans="1:21" x14ac:dyDescent="0.35">
      <c r="A14">
        <v>4</v>
      </c>
      <c r="B14" s="193" t="s">
        <v>20</v>
      </c>
      <c r="C14" t="s">
        <v>129</v>
      </c>
      <c r="D14" s="204">
        <v>25.85</v>
      </c>
      <c r="E14" s="204">
        <v>38.770000000000003</v>
      </c>
      <c r="F14">
        <v>701</v>
      </c>
      <c r="G14">
        <v>8.6159999999999997</v>
      </c>
      <c r="H14">
        <v>3</v>
      </c>
      <c r="I14" s="89">
        <v>46138</v>
      </c>
    </row>
    <row r="15" spans="1:21" x14ac:dyDescent="0.35">
      <c r="A15">
        <v>5</v>
      </c>
      <c r="B15" s="193" t="s">
        <v>21</v>
      </c>
      <c r="C15" t="s">
        <v>129</v>
      </c>
      <c r="D15" s="204">
        <v>21.83</v>
      </c>
      <c r="E15" s="204">
        <v>32.75</v>
      </c>
      <c r="F15">
        <v>593</v>
      </c>
      <c r="G15">
        <v>9.968</v>
      </c>
      <c r="H15">
        <v>2.1903999999999999</v>
      </c>
      <c r="I15" s="89">
        <v>46138</v>
      </c>
    </row>
    <row r="16" spans="1:21" x14ac:dyDescent="0.35">
      <c r="A16">
        <v>6</v>
      </c>
      <c r="B16" s="193" t="s">
        <v>22</v>
      </c>
      <c r="C16" t="s">
        <v>129</v>
      </c>
      <c r="D16" s="204">
        <v>22.07</v>
      </c>
      <c r="E16" s="204">
        <v>33.1</v>
      </c>
      <c r="F16">
        <v>670</v>
      </c>
      <c r="G16">
        <v>5.218</v>
      </c>
      <c r="H16">
        <v>4.2285000000000004</v>
      </c>
      <c r="I16" s="89">
        <v>46138</v>
      </c>
    </row>
    <row r="17" spans="1:9" x14ac:dyDescent="0.35">
      <c r="A17">
        <v>7</v>
      </c>
      <c r="B17" s="193" t="s">
        <v>23</v>
      </c>
      <c r="C17" t="s">
        <v>129</v>
      </c>
      <c r="D17" s="204">
        <v>16.48</v>
      </c>
      <c r="E17" s="204">
        <v>24.72</v>
      </c>
      <c r="F17">
        <v>585</v>
      </c>
      <c r="G17">
        <v>7.5350000000000001</v>
      </c>
      <c r="H17">
        <v>2.1873</v>
      </c>
      <c r="I17" s="89">
        <v>46138</v>
      </c>
    </row>
    <row r="18" spans="1:9" x14ac:dyDescent="0.35">
      <c r="A18">
        <v>8</v>
      </c>
      <c r="B18" s="193" t="s">
        <v>26</v>
      </c>
      <c r="C18" t="s">
        <v>129</v>
      </c>
      <c r="D18" s="204">
        <v>17.350000000000001</v>
      </c>
      <c r="E18" s="204">
        <v>26.02</v>
      </c>
      <c r="F18">
        <v>713</v>
      </c>
      <c r="G18">
        <v>9.8940000000000001</v>
      </c>
      <c r="H18">
        <v>1.7532000000000001</v>
      </c>
      <c r="I18" s="89">
        <v>46138</v>
      </c>
    </row>
    <row r="19" spans="1:9" x14ac:dyDescent="0.35">
      <c r="A19">
        <v>9</v>
      </c>
      <c r="B19" s="193" t="s">
        <v>27</v>
      </c>
      <c r="C19" t="s">
        <v>129</v>
      </c>
      <c r="D19" s="204">
        <v>25.36</v>
      </c>
      <c r="E19" s="204">
        <v>38.049999999999997</v>
      </c>
      <c r="F19">
        <v>656</v>
      </c>
      <c r="G19">
        <v>9.3119999999999994</v>
      </c>
      <c r="H19">
        <v>2.7237</v>
      </c>
      <c r="I19" s="89">
        <v>46138</v>
      </c>
    </row>
    <row r="20" spans="1:9" x14ac:dyDescent="0.35">
      <c r="A20">
        <v>1</v>
      </c>
      <c r="B20" s="193" t="s">
        <v>10</v>
      </c>
      <c r="C20" t="s">
        <v>129</v>
      </c>
      <c r="D20" s="204">
        <v>41.51</v>
      </c>
      <c r="E20" s="204">
        <v>62.26</v>
      </c>
      <c r="F20">
        <v>816</v>
      </c>
      <c r="G20">
        <v>10.983000000000001</v>
      </c>
      <c r="H20">
        <v>3.7793000000000001</v>
      </c>
      <c r="I20" s="89">
        <v>46139</v>
      </c>
    </row>
    <row r="21" spans="1:9" x14ac:dyDescent="0.35">
      <c r="A21">
        <v>2</v>
      </c>
      <c r="B21" s="193" t="s">
        <v>16</v>
      </c>
      <c r="C21" t="s">
        <v>129</v>
      </c>
      <c r="D21" s="204">
        <v>25.53</v>
      </c>
      <c r="E21" s="204">
        <v>38.299999999999997</v>
      </c>
      <c r="F21">
        <v>584</v>
      </c>
      <c r="G21">
        <v>7.69</v>
      </c>
      <c r="H21">
        <v>3.3203</v>
      </c>
      <c r="I21" s="89">
        <v>46139</v>
      </c>
    </row>
    <row r="22" spans="1:9" x14ac:dyDescent="0.35">
      <c r="A22">
        <v>3</v>
      </c>
      <c r="B22" s="193" t="s">
        <v>18</v>
      </c>
      <c r="C22" t="s">
        <v>129</v>
      </c>
      <c r="D22" s="204">
        <v>18.47</v>
      </c>
      <c r="E22" s="204">
        <v>27.71</v>
      </c>
      <c r="F22">
        <v>450</v>
      </c>
      <c r="G22">
        <v>7.0709999999999997</v>
      </c>
      <c r="H22">
        <v>2.6128</v>
      </c>
      <c r="I22" s="89">
        <v>46139</v>
      </c>
    </row>
    <row r="23" spans="1:9" x14ac:dyDescent="0.35">
      <c r="A23">
        <v>4</v>
      </c>
      <c r="B23" s="193" t="s">
        <v>20</v>
      </c>
      <c r="C23" t="s">
        <v>129</v>
      </c>
      <c r="D23" s="204">
        <v>29.46</v>
      </c>
      <c r="E23" s="204">
        <v>44.19</v>
      </c>
      <c r="F23">
        <v>587</v>
      </c>
      <c r="G23">
        <v>7.6669999999999998</v>
      </c>
      <c r="H23">
        <v>3.8422999999999998</v>
      </c>
      <c r="I23" s="89">
        <v>46139</v>
      </c>
    </row>
    <row r="24" spans="1:9" x14ac:dyDescent="0.35">
      <c r="A24">
        <v>5</v>
      </c>
      <c r="B24" s="193" t="s">
        <v>21</v>
      </c>
      <c r="C24" t="s">
        <v>129</v>
      </c>
      <c r="D24" s="204">
        <v>23.17</v>
      </c>
      <c r="E24" s="204">
        <v>34.75</v>
      </c>
      <c r="F24">
        <v>561</v>
      </c>
      <c r="G24">
        <v>9.5730000000000004</v>
      </c>
      <c r="H24">
        <v>2.4201999999999999</v>
      </c>
      <c r="I24" s="89">
        <v>46139</v>
      </c>
    </row>
    <row r="25" spans="1:9" x14ac:dyDescent="0.35">
      <c r="A25">
        <v>6</v>
      </c>
      <c r="B25" s="193" t="s">
        <v>22</v>
      </c>
      <c r="C25" t="s">
        <v>129</v>
      </c>
      <c r="D25" s="204">
        <v>25.36</v>
      </c>
      <c r="E25" s="204">
        <v>38.049999999999997</v>
      </c>
      <c r="F25">
        <v>417</v>
      </c>
      <c r="G25">
        <v>4.952</v>
      </c>
      <c r="H25">
        <v>5.1223999999999998</v>
      </c>
      <c r="I25" s="89">
        <v>46139</v>
      </c>
    </row>
    <row r="26" spans="1:9" x14ac:dyDescent="0.35">
      <c r="A26">
        <v>7</v>
      </c>
      <c r="B26" s="193" t="s">
        <v>23</v>
      </c>
      <c r="C26" t="s">
        <v>129</v>
      </c>
      <c r="D26" s="204">
        <v>19.79</v>
      </c>
      <c r="E26" s="204">
        <v>29.68</v>
      </c>
      <c r="F26">
        <v>562</v>
      </c>
      <c r="G26">
        <v>7.5750000000000002</v>
      </c>
      <c r="H26">
        <v>2.6126999999999998</v>
      </c>
      <c r="I26" s="89">
        <v>46139</v>
      </c>
    </row>
    <row r="27" spans="1:9" x14ac:dyDescent="0.35">
      <c r="A27">
        <v>8</v>
      </c>
      <c r="B27" s="193" t="s">
        <v>26</v>
      </c>
      <c r="C27" t="s">
        <v>129</v>
      </c>
      <c r="D27" s="204">
        <v>16.09</v>
      </c>
      <c r="E27" s="204">
        <v>24.13</v>
      </c>
      <c r="F27">
        <v>660</v>
      </c>
      <c r="G27">
        <v>9.7530000000000001</v>
      </c>
      <c r="H27">
        <v>1.6493</v>
      </c>
      <c r="I27" s="89">
        <v>46139</v>
      </c>
    </row>
    <row r="28" spans="1:9" x14ac:dyDescent="0.35">
      <c r="A28">
        <v>9</v>
      </c>
      <c r="B28" s="193" t="s">
        <v>27</v>
      </c>
      <c r="C28" t="s">
        <v>129</v>
      </c>
      <c r="D28" s="204">
        <v>22.97</v>
      </c>
      <c r="E28" s="204">
        <v>34.450000000000003</v>
      </c>
      <c r="F28">
        <v>684</v>
      </c>
      <c r="G28">
        <v>9.8149999999999995</v>
      </c>
      <c r="H28">
        <v>2.3399000000000001</v>
      </c>
      <c r="I28" s="89">
        <v>46139</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D2D9-005C-4C1B-97B9-4B14693B5DB2}">
  <dimension ref="A1:C31"/>
  <sheetViews>
    <sheetView showGridLines="0" topLeftCell="A9" workbookViewId="0">
      <selection activeCell="C27" sqref="C27:C31"/>
    </sheetView>
  </sheetViews>
  <sheetFormatPr defaultRowHeight="14.5" x14ac:dyDescent="0.35"/>
  <cols>
    <col min="1" max="1" width="9.54296875" customWidth="1"/>
    <col min="2" max="2" width="8.81640625" customWidth="1"/>
  </cols>
  <sheetData>
    <row r="1" spans="1:3" x14ac:dyDescent="0.35">
      <c r="A1" s="4" t="s">
        <v>130</v>
      </c>
      <c r="B1" s="5" t="s">
        <v>131</v>
      </c>
      <c r="C1" s="6" t="s">
        <v>7</v>
      </c>
    </row>
    <row r="2" spans="1:3" x14ac:dyDescent="0.35">
      <c r="A2" s="2">
        <v>148</v>
      </c>
      <c r="B2" s="1">
        <v>24.140899999999998</v>
      </c>
      <c r="C2" s="3" t="s">
        <v>9</v>
      </c>
    </row>
    <row r="3" spans="1:3" x14ac:dyDescent="0.35">
      <c r="A3" s="2">
        <v>485</v>
      </c>
      <c r="B3" s="1">
        <v>26.9466</v>
      </c>
      <c r="C3" s="3" t="s">
        <v>9</v>
      </c>
    </row>
    <row r="4" spans="1:3" x14ac:dyDescent="0.35">
      <c r="A4" s="2">
        <v>212</v>
      </c>
      <c r="B4" s="1">
        <v>27.517900000000001</v>
      </c>
      <c r="C4" s="3" t="s">
        <v>9</v>
      </c>
    </row>
    <row r="5" spans="1:3" x14ac:dyDescent="0.35">
      <c r="A5" s="2">
        <v>471</v>
      </c>
      <c r="B5" s="1">
        <v>27.315000000000001</v>
      </c>
      <c r="C5" s="3" t="s">
        <v>9</v>
      </c>
    </row>
    <row r="6" spans="1:3" x14ac:dyDescent="0.35">
      <c r="A6" s="2">
        <v>446</v>
      </c>
      <c r="B6" s="1">
        <v>27.4846</v>
      </c>
      <c r="C6" s="3" t="s">
        <v>9</v>
      </c>
    </row>
    <row r="7" spans="1:3" x14ac:dyDescent="0.35">
      <c r="A7" s="2">
        <v>352</v>
      </c>
      <c r="B7" s="1">
        <v>23.6953</v>
      </c>
      <c r="C7" s="3" t="s">
        <v>9</v>
      </c>
    </row>
    <row r="8" spans="1:3" x14ac:dyDescent="0.35">
      <c r="A8" s="2">
        <v>793</v>
      </c>
      <c r="B8" s="1">
        <v>27.247299999999999</v>
      </c>
      <c r="C8" s="3" t="s">
        <v>9</v>
      </c>
    </row>
    <row r="9" spans="1:3" x14ac:dyDescent="0.35">
      <c r="A9" s="2">
        <v>403</v>
      </c>
      <c r="B9" s="1">
        <v>26.941700000000001</v>
      </c>
      <c r="C9" s="3" t="s">
        <v>9</v>
      </c>
    </row>
    <row r="10" spans="1:3" x14ac:dyDescent="0.35">
      <c r="A10" s="2">
        <v>14</v>
      </c>
      <c r="B10" s="1">
        <v>20.060600000000001</v>
      </c>
      <c r="C10" s="3" t="s">
        <v>132</v>
      </c>
    </row>
    <row r="11" spans="1:3" x14ac:dyDescent="0.35">
      <c r="A11" s="2">
        <v>18</v>
      </c>
      <c r="B11" s="1">
        <v>21.0947</v>
      </c>
      <c r="C11" s="3" t="s">
        <v>132</v>
      </c>
    </row>
    <row r="12" spans="1:3" x14ac:dyDescent="0.35">
      <c r="A12" s="2">
        <v>15</v>
      </c>
      <c r="B12" s="1">
        <v>19.1663</v>
      </c>
      <c r="C12" s="3" t="s">
        <v>132</v>
      </c>
    </row>
    <row r="13" spans="1:3" x14ac:dyDescent="0.35">
      <c r="A13" s="2">
        <v>5</v>
      </c>
      <c r="B13" s="1">
        <v>20.0899</v>
      </c>
      <c r="C13" s="3" t="s">
        <v>132</v>
      </c>
    </row>
    <row r="14" spans="1:3" x14ac:dyDescent="0.35">
      <c r="A14" s="2">
        <v>22</v>
      </c>
      <c r="B14" s="1">
        <v>20.1067</v>
      </c>
      <c r="C14" s="3" t="s">
        <v>132</v>
      </c>
    </row>
    <row r="15" spans="1:3" x14ac:dyDescent="0.35">
      <c r="A15" s="2">
        <v>4</v>
      </c>
      <c r="B15" s="1">
        <v>18.419599999999999</v>
      </c>
      <c r="C15" s="3" t="s">
        <v>132</v>
      </c>
    </row>
    <row r="16" spans="1:3" x14ac:dyDescent="0.35">
      <c r="A16" s="2">
        <v>21</v>
      </c>
      <c r="B16" s="1">
        <v>19.807200000000002</v>
      </c>
      <c r="C16" s="3" t="s">
        <v>132</v>
      </c>
    </row>
    <row r="17" spans="1:3" x14ac:dyDescent="0.35">
      <c r="A17" s="7">
        <v>25</v>
      </c>
      <c r="B17" s="8">
        <v>19.177099999999999</v>
      </c>
      <c r="C17" s="9" t="s">
        <v>132</v>
      </c>
    </row>
    <row r="18" spans="1:3" x14ac:dyDescent="0.35">
      <c r="A18" s="7">
        <v>566</v>
      </c>
      <c r="B18" s="8">
        <v>22.6677</v>
      </c>
      <c r="C18" s="3" t="s">
        <v>9</v>
      </c>
    </row>
    <row r="19" spans="1:3" x14ac:dyDescent="0.35">
      <c r="A19" s="7">
        <v>462</v>
      </c>
      <c r="B19" s="8">
        <v>27.725999999999999</v>
      </c>
      <c r="C19" s="3" t="s">
        <v>9</v>
      </c>
    </row>
    <row r="20" spans="1:3" x14ac:dyDescent="0.35">
      <c r="A20" s="7">
        <v>440</v>
      </c>
      <c r="B20" s="8">
        <v>26.962299999999999</v>
      </c>
      <c r="C20" s="3" t="s">
        <v>9</v>
      </c>
    </row>
    <row r="21" spans="1:3" x14ac:dyDescent="0.35">
      <c r="A21" s="7">
        <v>352.1</v>
      </c>
      <c r="B21" s="8">
        <v>23.090199999999999</v>
      </c>
      <c r="C21" s="3" t="s">
        <v>9</v>
      </c>
    </row>
    <row r="22" spans="1:3" x14ac:dyDescent="0.35">
      <c r="A22" s="7">
        <v>16</v>
      </c>
      <c r="B22" s="8">
        <v>19.058900000000001</v>
      </c>
      <c r="C22" s="9" t="s">
        <v>132</v>
      </c>
    </row>
    <row r="23" spans="1:3" x14ac:dyDescent="0.35">
      <c r="A23" s="7">
        <v>23</v>
      </c>
      <c r="B23" s="8">
        <v>20.674199999999999</v>
      </c>
      <c r="C23" s="9" t="s">
        <v>132</v>
      </c>
    </row>
    <row r="24" spans="1:3" x14ac:dyDescent="0.35">
      <c r="A24" s="7">
        <v>3</v>
      </c>
      <c r="B24" s="8">
        <v>18.671800000000001</v>
      </c>
      <c r="C24" s="9" t="s">
        <v>132</v>
      </c>
    </row>
    <row r="25" spans="1:3" x14ac:dyDescent="0.35">
      <c r="A25" s="7">
        <v>2</v>
      </c>
      <c r="B25" s="8">
        <v>16.8659</v>
      </c>
      <c r="C25" s="9" t="s">
        <v>132</v>
      </c>
    </row>
    <row r="26" spans="1:3" x14ac:dyDescent="0.35">
      <c r="A26" s="7">
        <v>24</v>
      </c>
      <c r="B26" s="37">
        <v>20.512</v>
      </c>
      <c r="C26" s="9" t="s">
        <v>132</v>
      </c>
    </row>
    <row r="27" spans="1:3" x14ac:dyDescent="0.35">
      <c r="A27" s="7">
        <v>14.1</v>
      </c>
      <c r="B27" s="8">
        <v>20.073499999999999</v>
      </c>
      <c r="C27" s="9" t="s">
        <v>132</v>
      </c>
    </row>
    <row r="28" spans="1:3" x14ac:dyDescent="0.35">
      <c r="A28" s="7">
        <v>15.1</v>
      </c>
      <c r="B28" s="8">
        <v>19.158100000000001</v>
      </c>
      <c r="C28" s="9" t="s">
        <v>132</v>
      </c>
    </row>
    <row r="29" spans="1:3" x14ac:dyDescent="0.35">
      <c r="A29" s="7">
        <v>4.0999999999999996</v>
      </c>
      <c r="B29" s="8">
        <v>18.4556</v>
      </c>
      <c r="C29" s="9" t="s">
        <v>132</v>
      </c>
    </row>
    <row r="30" spans="1:3" x14ac:dyDescent="0.35">
      <c r="A30" s="7">
        <v>22.1</v>
      </c>
      <c r="B30" s="8">
        <v>20.122699999999998</v>
      </c>
      <c r="C30" s="9" t="s">
        <v>132</v>
      </c>
    </row>
    <row r="31" spans="1:3" x14ac:dyDescent="0.35">
      <c r="A31" s="7">
        <v>18.100000000000001</v>
      </c>
      <c r="B31" s="8">
        <v>21.118099999999998</v>
      </c>
      <c r="C31" s="9" t="s">
        <v>132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0_Summary</vt:lpstr>
      <vt:lpstr>1_RawMaterial</vt:lpstr>
      <vt:lpstr>2_Rheology</vt:lpstr>
      <vt:lpstr>3_BreadFormulation&amp;measurements</vt:lpstr>
      <vt:lpstr>4_BreadComposition</vt:lpstr>
      <vt:lpstr>5_Sensorial</vt:lpstr>
      <vt:lpstr>6_BreadCrumbPorosity</vt:lpstr>
      <vt:lpstr>Extra_RecipientsWeight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Lucia Buzzeo</cp:lastModifiedBy>
  <cp:revision/>
  <dcterms:created xsi:type="dcterms:W3CDTF">2025-10-21T06:36:07Z</dcterms:created>
  <dcterms:modified xsi:type="dcterms:W3CDTF">2026-05-21T06:36:26Z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2025-10-21T08:53:56Z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e0bce83c-9ed2-4216-b8aa-7f5c6ad38684</vt:lpwstr>
  </property>
  <property fmtid="{D5CDD505-2E9C-101B-9397-08002B2CF9AE}" pid="8" name="MSIP_Label_68104b14-b53d-46de-9ae8-975cc0e84815_ContentBits">
    <vt:lpwstr>0</vt:lpwstr>
  </property>
</Properties>
</file>