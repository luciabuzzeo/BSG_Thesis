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C:\Users\18507321\Downloads\"/>
    </mc:Choice>
  </mc:AlternateContent>
  <xr:revisionPtr revIDLastSave="1562" documentId="13_ncr:20001_{E89F3779-7E44-44EE-B390-B4B7E440AF8D}" xr6:coauthVersionLast="47" xr6:coauthVersionMax="47" xr10:uidLastSave="{64322F25-0D45-4697-AFC9-DAE225708C6A}"/>
  <bookViews>
    <workbookView xWindow="-110" yWindow="-110" windowWidth="19420" windowHeight="10300" firstSheet="2" xr2:uid="{00000000-000D-0000-FFFF-FFFF00000000}"/>
  </bookViews>
  <sheets>
    <sheet name="0_Summary" sheetId="3" r:id="rId1"/>
    <sheet name="1_RawMaterial" sheetId="1" r:id="rId2"/>
    <sheet name="2_Rheology" sheetId="4" r:id="rId3"/>
    <sheet name="3_BreadFormulation&amp;measurements" sheetId="5" r:id="rId4"/>
    <sheet name="4_BreadComposition" sheetId="9" r:id="rId5"/>
    <sheet name="5_Sensorial" sheetId="6" r:id="rId6"/>
    <sheet name="Extra_RecipientsWeight" sheetId="2" r:id="rId7"/>
    <sheet name="Hoja1" sheetId="7" r:id="rId8"/>
    <sheet name="Hoja2" sheetId="8"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 i="3" l="1" a="1"/>
  <c r="M4" i="3"/>
  <c r="M5" i="3" a="1"/>
  <c r="M5" i="3"/>
  <c r="M6" i="3" a="1"/>
  <c r="M6" i="3"/>
  <c r="M7" i="3" a="1"/>
  <c r="M7" i="3"/>
  <c r="M3" i="3" a="1"/>
  <c r="M3" i="3"/>
  <c r="L4" i="3"/>
  <c r="L5" i="3"/>
  <c r="L6" i="3"/>
  <c r="L7" i="3"/>
  <c r="L3" i="3"/>
  <c r="K7" i="5"/>
  <c r="K6" i="5"/>
  <c r="K5" i="5"/>
  <c r="K4" i="5"/>
  <c r="K3" i="5"/>
  <c r="H24" i="3"/>
  <c r="H25" i="3"/>
  <c r="H26" i="3"/>
  <c r="H27" i="3"/>
  <c r="H23" i="3"/>
  <c r="H19" i="3"/>
  <c r="H20" i="3"/>
  <c r="H21" i="3"/>
  <c r="H22" i="3"/>
  <c r="H18" i="3"/>
  <c r="I17" i="3" a="1"/>
  <c r="I17" i="3" s="1"/>
  <c r="H17" i="3" a="1"/>
  <c r="H17" i="3" s="1"/>
  <c r="I16" i="3" a="1"/>
  <c r="I16" i="3" s="1"/>
  <c r="H16" i="3" a="1"/>
  <c r="H16" i="3" s="1"/>
  <c r="I15" i="3" a="1"/>
  <c r="I15" i="3" s="1"/>
  <c r="H15" i="3" a="1"/>
  <c r="H15" i="3" s="1"/>
  <c r="I13" i="3" a="1"/>
  <c r="I13" i="3"/>
  <c r="I14" i="3" a="1"/>
  <c r="I14" i="3"/>
  <c r="H13" i="3" a="1"/>
  <c r="H13" i="3" s="1"/>
  <c r="H14" i="3" a="1"/>
  <c r="H14" i="3" s="1"/>
  <c r="M4" i="6"/>
  <c r="M5" i="6"/>
  <c r="M6" i="6"/>
  <c r="M7" i="6"/>
  <c r="M8" i="6"/>
  <c r="M9" i="6"/>
  <c r="M10" i="6"/>
  <c r="M11" i="6"/>
  <c r="M12" i="6"/>
  <c r="M13" i="6"/>
  <c r="M14" i="6"/>
  <c r="M15" i="6"/>
  <c r="M16" i="6"/>
  <c r="M17" i="6"/>
  <c r="M18" i="6"/>
  <c r="M19" i="6"/>
  <c r="M20" i="6"/>
  <c r="M21" i="6"/>
  <c r="M22" i="6"/>
  <c r="M23" i="6"/>
  <c r="M24" i="6"/>
  <c r="M25" i="6"/>
  <c r="M26" i="6"/>
  <c r="M27" i="6"/>
  <c r="M28" i="6"/>
  <c r="M29" i="6"/>
  <c r="M30" i="6"/>
  <c r="M31" i="6"/>
  <c r="M32" i="6"/>
  <c r="M33" i="6"/>
  <c r="M34" i="6"/>
  <c r="M35" i="6"/>
  <c r="M36" i="6"/>
  <c r="M37" i="6"/>
  <c r="M38" i="6"/>
  <c r="M39" i="6"/>
  <c r="M40" i="6"/>
  <c r="M41" i="6"/>
  <c r="M42" i="6"/>
  <c r="M3" i="6"/>
  <c r="H18" i="9"/>
  <c r="H19" i="9"/>
  <c r="H20" i="9"/>
  <c r="H21" i="9"/>
  <c r="H22" i="9"/>
  <c r="H23" i="9"/>
  <c r="H24" i="9"/>
  <c r="H25" i="9"/>
  <c r="H26" i="9"/>
  <c r="H17" i="9"/>
  <c r="B15" i="9"/>
  <c r="H15" i="9"/>
  <c r="B16" i="9"/>
  <c r="H16" i="9"/>
  <c r="B4" i="9"/>
  <c r="H4" i="9"/>
  <c r="B26" i="9"/>
  <c r="B25" i="9"/>
  <c r="B24" i="9"/>
  <c r="B23" i="9"/>
  <c r="B22" i="9"/>
  <c r="B21" i="9"/>
  <c r="B20" i="9"/>
  <c r="B19" i="9"/>
  <c r="B18" i="9"/>
  <c r="B17" i="9"/>
  <c r="H14" i="9"/>
  <c r="B14" i="9"/>
  <c r="H13" i="9"/>
  <c r="B13" i="9"/>
  <c r="H12" i="9"/>
  <c r="B12" i="9"/>
  <c r="H11" i="9"/>
  <c r="B11" i="9"/>
  <c r="H10" i="9"/>
  <c r="B10" i="9"/>
  <c r="H9" i="9"/>
  <c r="B9" i="9"/>
  <c r="H8" i="9"/>
  <c r="B8" i="9"/>
  <c r="H7" i="9"/>
  <c r="B7" i="9"/>
  <c r="H6" i="9"/>
  <c r="B6" i="9"/>
  <c r="H5" i="9"/>
  <c r="B5" i="9"/>
  <c r="H3" i="9"/>
  <c r="B3" i="9"/>
  <c r="H2" i="9"/>
  <c r="B2" i="9"/>
  <c r="E11" i="7"/>
  <c r="E9" i="7"/>
  <c r="C9" i="7"/>
  <c r="D11" i="3" a="1"/>
  <c r="D11" i="3" s="1"/>
  <c r="D12" i="3" a="1"/>
  <c r="D12" i="3" s="1"/>
  <c r="D13" i="3" a="1"/>
  <c r="D13" i="3" s="1"/>
  <c r="D14" i="3" a="1"/>
  <c r="D14" i="3" s="1"/>
  <c r="C11" i="3" a="1"/>
  <c r="C11" i="3" s="1"/>
  <c r="C12" i="3" a="1"/>
  <c r="C12" i="3" s="1"/>
  <c r="C13" i="3" a="1"/>
  <c r="C13" i="3" s="1"/>
  <c r="C14" i="3" a="1"/>
  <c r="C14" i="3" s="1"/>
  <c r="H19" i="1"/>
  <c r="H20" i="1"/>
  <c r="H21" i="1"/>
  <c r="H22" i="1"/>
  <c r="H23" i="1"/>
  <c r="H24" i="1"/>
  <c r="H25" i="1"/>
  <c r="H26" i="1"/>
  <c r="H27" i="1"/>
  <c r="H28" i="1"/>
  <c r="H29" i="1"/>
  <c r="H30" i="1"/>
  <c r="H31" i="1"/>
  <c r="H18" i="1"/>
  <c r="H2" i="1"/>
  <c r="K2" i="1" s="1"/>
  <c r="H3" i="1"/>
  <c r="K3" i="1" s="1"/>
  <c r="M19" i="1" s="1"/>
  <c r="H4" i="1"/>
  <c r="H5" i="1"/>
  <c r="K5" i="1" s="1"/>
  <c r="M21" i="1" s="1"/>
  <c r="H6" i="1"/>
  <c r="K6" i="1" s="1"/>
  <c r="M22" i="1" s="1"/>
  <c r="H7" i="1"/>
  <c r="K7" i="1" s="1"/>
  <c r="M23" i="1" s="1"/>
  <c r="H8" i="1"/>
  <c r="K8" i="1" s="1"/>
  <c r="M24" i="1" s="1"/>
  <c r="H9" i="1"/>
  <c r="K9" i="1" s="1"/>
  <c r="H10" i="1"/>
  <c r="H11" i="1"/>
  <c r="L11" i="1" s="1"/>
  <c r="H12" i="1"/>
  <c r="L12" i="1" s="1"/>
  <c r="H13" i="1"/>
  <c r="L13" i="1" s="1"/>
  <c r="H14" i="1"/>
  <c r="L14" i="1" s="1"/>
  <c r="H15" i="1"/>
  <c r="L15" i="1" s="1"/>
  <c r="H16" i="1"/>
  <c r="L16" i="1" s="1"/>
  <c r="H17" i="1"/>
  <c r="L17" i="1" s="1"/>
  <c r="J26" i="1"/>
  <c r="J27" i="1"/>
  <c r="J28" i="1"/>
  <c r="J29" i="1"/>
  <c r="J30" i="1"/>
  <c r="J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2" i="1"/>
  <c r="M18" i="1" l="1"/>
  <c r="C3" i="3" a="1"/>
  <c r="C3" i="3" s="1"/>
  <c r="L8" i="9"/>
  <c r="L9" i="9"/>
  <c r="L10" i="9"/>
  <c r="L11" i="9"/>
  <c r="L12" i="9"/>
  <c r="L13" i="9"/>
  <c r="L14" i="9"/>
  <c r="L16" i="9"/>
  <c r="L15" i="9"/>
  <c r="L7" i="9"/>
  <c r="H8" i="3" s="1" a="1"/>
  <c r="H8" i="3" s="1"/>
  <c r="J17" i="1"/>
  <c r="J16" i="1"/>
  <c r="J15" i="1"/>
  <c r="J14" i="1"/>
  <c r="J13" i="1"/>
  <c r="J12" i="1"/>
  <c r="J11" i="1"/>
  <c r="L10" i="1"/>
  <c r="D7" i="3" s="1" a="1"/>
  <c r="D7" i="3" s="1"/>
  <c r="J10" i="1"/>
  <c r="J5" i="9"/>
  <c r="H6" i="3" s="1" a="1"/>
  <c r="H6" i="3" s="1"/>
  <c r="J6" i="9"/>
  <c r="J4" i="9"/>
  <c r="J2" i="9"/>
  <c r="J3" i="9"/>
  <c r="J9" i="1"/>
  <c r="M25" i="1"/>
  <c r="K4" i="1"/>
  <c r="M20" i="1" s="1"/>
  <c r="J2" i="1"/>
  <c r="C5" i="3" a="1"/>
  <c r="C5" i="3" s="1"/>
  <c r="D5" i="3" a="1"/>
  <c r="D5" i="3" s="1"/>
  <c r="D4" i="3" a="1"/>
  <c r="D4" i="3" s="1"/>
  <c r="J4" i="1"/>
  <c r="J6" i="1"/>
  <c r="J8" i="1"/>
  <c r="J5" i="1"/>
  <c r="P29" i="1"/>
  <c r="J7" i="1"/>
  <c r="P28" i="1"/>
  <c r="D3" i="3" a="1"/>
  <c r="D3" i="3" s="1"/>
  <c r="J3" i="1"/>
  <c r="I9" i="3" l="1" a="1"/>
  <c r="I9" i="3" s="1"/>
  <c r="H9" i="3" a="1"/>
  <c r="H9" i="3" s="1"/>
  <c r="I10" i="3" a="1"/>
  <c r="I10" i="3" s="1"/>
  <c r="H10" i="3" a="1"/>
  <c r="H10" i="3" s="1"/>
  <c r="K6" i="9"/>
  <c r="K5" i="9"/>
  <c r="H7" i="3" a="1"/>
  <c r="H7" i="3" s="1"/>
  <c r="I8" i="3" a="1"/>
  <c r="I8" i="3" s="1"/>
  <c r="I12" i="3" a="1"/>
  <c r="I12" i="3" s="1"/>
  <c r="H12" i="3" a="1"/>
  <c r="H12" i="3" s="1"/>
  <c r="I11" i="3" a="1"/>
  <c r="I11" i="3" s="1"/>
  <c r="H11" i="3" a="1"/>
  <c r="H11" i="3" s="1"/>
  <c r="K3" i="9"/>
  <c r="H4" i="3" a="1"/>
  <c r="H4" i="3" s="1"/>
  <c r="K4" i="9"/>
  <c r="H5" i="3" a="1"/>
  <c r="H5" i="3" s="1"/>
  <c r="K2" i="9"/>
  <c r="H3" i="3" a="1"/>
  <c r="H3" i="3" s="1"/>
  <c r="D8" i="3" a="1"/>
  <c r="D8" i="3" s="1"/>
  <c r="C8" i="3" a="1"/>
  <c r="C8" i="3" s="1"/>
  <c r="D9" i="3" a="1"/>
  <c r="D9" i="3" s="1"/>
  <c r="C9" i="3" a="1"/>
  <c r="C9" i="3" s="1"/>
  <c r="D10" i="3" a="1"/>
  <c r="D10" i="3" s="1"/>
  <c r="C10" i="3" a="1"/>
  <c r="C10" i="3" s="1"/>
  <c r="C4" i="3" a="1"/>
  <c r="C4" i="3" s="1"/>
  <c r="C6" i="3" a="1"/>
  <c r="C6" i="3" s="1"/>
  <c r="D6" i="3" a="1"/>
  <c r="D6" i="3" s="1"/>
  <c r="C16" i="3" a="1"/>
  <c r="C16" i="3" s="1"/>
  <c r="D16" i="3" a="1"/>
  <c r="D16" i="3" s="1"/>
  <c r="C7" i="3" a="1"/>
  <c r="C7" i="3" s="1"/>
  <c r="P30" i="1"/>
  <c r="D17" i="3" s="1" a="1"/>
  <c r="D17" i="3" s="1"/>
  <c r="P26" i="1"/>
  <c r="D15" i="3" s="1" a="1"/>
  <c r="D15" i="3" s="1"/>
  <c r="P31" i="1"/>
  <c r="P27" i="1"/>
  <c r="C17" i="3" l="1" a="1"/>
  <c r="C17" i="3" s="1"/>
  <c r="C15" i="3" a="1"/>
  <c r="C15" i="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<sst xmlns="http://schemas.openxmlformats.org/spreadsheetml/2006/main" count="513" uniqueCount="121">
  <si>
    <t>RAW MATERIAL</t>
  </si>
  <si>
    <t>BREAD COMPOSITION</t>
  </si>
  <si>
    <t>Parameter</t>
  </si>
  <si>
    <t>Sample</t>
  </si>
  <si>
    <t>Average (%)</t>
  </si>
  <si>
    <t>SD (%)</t>
  </si>
  <si>
    <t>Avg Overall Points</t>
  </si>
  <si>
    <t>Moisture</t>
  </si>
  <si>
    <t>Flour</t>
  </si>
  <si>
    <t xml:space="preserve"> Control </t>
  </si>
  <si>
    <t>BSG</t>
  </si>
  <si>
    <t>10% BSG</t>
  </si>
  <si>
    <t>10% BSG Mixture</t>
  </si>
  <si>
    <t xml:space="preserve">20% BSG </t>
  </si>
  <si>
    <t>20% BSG Mixture</t>
  </si>
  <si>
    <t>10% BSG+E</t>
  </si>
  <si>
    <t xml:space="preserve"> 10%e    </t>
  </si>
  <si>
    <t>Ash</t>
  </si>
  <si>
    <t>20% BSG+E</t>
  </si>
  <si>
    <t xml:space="preserve"> 20%e    </t>
  </si>
  <si>
    <t>Protein</t>
  </si>
  <si>
    <t>Gluten</t>
  </si>
  <si>
    <t>20% BSG</t>
  </si>
  <si>
    <t>Volume</t>
  </si>
  <si>
    <t>H/W ratio</t>
  </si>
  <si>
    <t>N</t>
  </si>
  <si>
    <t>Name</t>
  </si>
  <si>
    <t>Rep</t>
  </si>
  <si>
    <t>Recipient number</t>
  </si>
  <si>
    <t>Sample Weight (g)</t>
  </si>
  <si>
    <t>Incial Weight (g)</t>
  </si>
  <si>
    <t>Final Weight (g)</t>
  </si>
  <si>
    <t>Weight Loss (g)</t>
  </si>
  <si>
    <t>Moisture (%)</t>
  </si>
  <si>
    <t>Dry Matter</t>
  </si>
  <si>
    <t>Consumption of Acid (Protein)</t>
  </si>
  <si>
    <t>Crude protein content (100% dry matter)</t>
  </si>
  <si>
    <t>Wet Gluten (%)</t>
  </si>
  <si>
    <t>Date</t>
  </si>
  <si>
    <t>Comments</t>
  </si>
  <si>
    <t> </t>
  </si>
  <si>
    <t>A-1</t>
  </si>
  <si>
    <t>B-1</t>
  </si>
  <si>
    <t>A-2</t>
  </si>
  <si>
    <t>B-2</t>
  </si>
  <si>
    <t>A-3</t>
  </si>
  <si>
    <t>B-3</t>
  </si>
  <si>
    <t>A-4</t>
  </si>
  <si>
    <t>B-4</t>
  </si>
  <si>
    <t>N°</t>
  </si>
  <si>
    <t>Flour Weight (g)</t>
  </si>
  <si>
    <t>Moisture content (%)</t>
  </si>
  <si>
    <t>Water Added (mL)</t>
  </si>
  <si>
    <t>Time (min)</t>
  </si>
  <si>
    <t>Temperature (°C)</t>
  </si>
  <si>
    <t>Consistency (BU)</t>
  </si>
  <si>
    <t>Water absorption set (%)</t>
  </si>
  <si>
    <t>Water absorption (%) (corrected for 500 FU)</t>
  </si>
  <si>
    <t>Water absorption (%) (corrected to 14%)</t>
  </si>
  <si>
    <t>Development time (min)</t>
  </si>
  <si>
    <t>Stability (min)</t>
  </si>
  <si>
    <t>Degree of softening (FU) (10min after begin)</t>
  </si>
  <si>
    <t>Degree of softening (FU) (12 min after max)</t>
  </si>
  <si>
    <t>Farinograph quality number</t>
  </si>
  <si>
    <t>Heating Rate (°C/min)</t>
  </si>
  <si>
    <t>Sample weight corr. to 14% (g/ml)</t>
  </si>
  <si>
    <t>Begin of gelatinization (°C)</t>
  </si>
  <si>
    <t>Gelatinization temperature (°C)</t>
  </si>
  <si>
    <t>Gelatinization maximum (AU)</t>
  </si>
  <si>
    <t>Results &amp; conclusion</t>
  </si>
  <si>
    <t>Farinograph</t>
  </si>
  <si>
    <t xml:space="preserve">Addition of BSG increased the waterabsorption. But with 20% the hydratation is no even (homogenous) because of the different particles of te BSG (shape, size), diff chemical composition (related to proportion of soluble components and non-soluble componentes such as fibre). Development time is longer with more BSG. It means the delation of formation of gluten network due to the fibre (less gas retention, less volume). Stability: it is negatively affected by the increase of BSG because BSG contains proteases. It might weaken the gluten network and gas retention (lower stability). Degree of softening: (it is defined as how fast the dough get weaker within mixing) BSG lowers it. Its dough will become weaker so quickly because the gluten network is not well developed. Falta alguna conclusion sobre farinograh number </t>
  </si>
  <si>
    <t>10%_BSG</t>
  </si>
  <si>
    <t>20%_BSG</t>
  </si>
  <si>
    <t>10%_BSG+Xylanase</t>
  </si>
  <si>
    <t>13/11/2025</t>
  </si>
  <si>
    <t>Not going</t>
  </si>
  <si>
    <t>25/11/2025</t>
  </si>
  <si>
    <t>20%_BSG+Xylanase</t>
  </si>
  <si>
    <t>Amilograph</t>
  </si>
  <si>
    <t>78.7/451.3</t>
  </si>
  <si>
    <t>The lower viscosity the lower the starch is to enzyme activity</t>
  </si>
  <si>
    <t>Flour+Xylanase</t>
  </si>
  <si>
    <t>78.9/451.1</t>
  </si>
  <si>
    <t>19/11/2025</t>
  </si>
  <si>
    <t>BSG negatively affect amilases complex because it increase</t>
  </si>
  <si>
    <t>20/11/2025</t>
  </si>
  <si>
    <t>The enzyme improved the degradation of the starch and normal formaiton of bread crumb. </t>
  </si>
  <si>
    <t>The enzyme improved the degradation of the starch and normal formaiton of bread crumb. BSG negatively affect amilases complex because it increase amilases activity but enzyme improved it</t>
  </si>
  <si>
    <t>Formulation</t>
  </si>
  <si>
    <t>Measurements</t>
  </si>
  <si>
    <t>Sample ID</t>
  </si>
  <si>
    <t>Flour (g)</t>
  </si>
  <si>
    <t>BSG Level (%)</t>
  </si>
  <si>
    <t>Yeast (g)</t>
  </si>
  <si>
    <t>Salt (g)</t>
  </si>
  <si>
    <t>Sugar (g)</t>
  </si>
  <si>
    <t>Water (ml)</t>
  </si>
  <si>
    <t>Weight dough (g)</t>
  </si>
  <si>
    <t>Weight bread (g)</t>
  </si>
  <si>
    <t>Volume (ml)</t>
  </si>
  <si>
    <t>Height/Width</t>
  </si>
  <si>
    <t>Ash (%)</t>
  </si>
  <si>
    <t>Check formula and results</t>
  </si>
  <si>
    <t>Panelist</t>
  </si>
  <si>
    <t xml:space="preserve"> Sample </t>
  </si>
  <si>
    <t xml:space="preserve"> Bread overall appearance &amp; shape </t>
  </si>
  <si>
    <t xml:space="preserve"> Surface of crust </t>
  </si>
  <si>
    <t xml:space="preserve"> Proofing &amp; appearance of crumb </t>
  </si>
  <si>
    <t xml:space="preserve"> Structure &amp; elasticity of crumb</t>
  </si>
  <si>
    <t xml:space="preserve"> Smell &amp; Taste overall</t>
  </si>
  <si>
    <t xml:space="preserve"> Overall points </t>
  </si>
  <si>
    <t>Value</t>
  </si>
  <si>
    <t>Weighting factor</t>
  </si>
  <si>
    <t>Number</t>
  </si>
  <si>
    <t>Weight</t>
  </si>
  <si>
    <t>Test</t>
  </si>
  <si>
    <t>Ashes</t>
  </si>
  <si>
    <t>Repeat Gluten</t>
  </si>
  <si>
    <t>Fiber</t>
  </si>
  <si>
    <t>20% + Enzyme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</si>
</sst>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
    <numFmt numFmtId="167" formatCode="0.0000E+00"/>
  </numFmts>
  <fonts count="8">
    <font>
      <sz val="11"/>
      <color theme="1"/>
      <name val="Calibri"/>
      <family val="2"/>
      <scheme val="minor"/>
    </font>
    <font>
      <sz val="11"/>
      <color theme="1"/>
      <name val="Calibri"/>
      <family val="2"/>
      <scheme val="minor"/>
    </font>
    <font>
      <b/>
      <sz val="11"/>
      <color theme="0"/>
      <name val="Calibri"/>
      <family val="2"/>
      <scheme val="minor"/>
    </font>
    <font>
      <sz val="8"/>
      <name val="Calibri"/>
      <family val="2"/>
      <scheme val="minor"/>
    </font>
    <font>
      <b/>
      <sz val="11"/>
      <color theme="1"/>
      <name val="Calibri"/>
      <family val="2"/>
      <scheme val="minor"/>
    </font>
    <font>
      <sz val="11"/>
      <color rgb="FF000000"/>
      <name val="Calibri"/>
    </font>
    <font>
      <sz val="11"/>
      <color theme="0"/>
      <name val="Aptos Narrow"/>
      <charset val="1"/>
    </font>
    <font>
      <sz val="11"/>
      <color rgb="FF242424"/>
      <name val="Aptos Narrow"/>
      <charset val="1"/>
    </font>
  </fonts>
  <fills count="11">
    <fill>
      <patternFill patternType="none"/>
    </fill>
    <fill>
      <patternFill patternType="gray125"/>
    </fill>
    <fill>
      <patternFill patternType="solid">
        <fgColor theme="9" tint="0.79998168889431442"/>
        <bgColor indexed="64"/>
      </patternFill>
    </fill>
    <fill>
      <patternFill patternType="solid">
        <fgColor theme="0" tint="-4.9989318521683403E-2"/>
        <bgColor indexed="64"/>
      </patternFill>
    </fill>
    <fill>
      <patternFill patternType="solid">
        <fgColor theme="8" tint="-0.249977111117893"/>
        <bgColor indexed="64"/>
      </patternFill>
    </fill>
    <fill>
      <patternFill patternType="solid">
        <fgColor theme="9" tint="-0.249977111117893"/>
        <bgColor indexed="64"/>
      </patternFill>
    </fill>
    <fill>
      <patternFill patternType="solid">
        <fgColor rgb="FFF2F2F2"/>
        <bgColor rgb="FF000000"/>
      </patternFill>
    </fill>
    <fill>
      <patternFill patternType="solid">
        <fgColor theme="8"/>
        <bgColor indexed="64"/>
      </patternFill>
    </fill>
    <fill>
      <patternFill patternType="solid">
        <fgColor theme="6" tint="0.79998168889431442"/>
        <bgColor indexed="64"/>
      </patternFill>
    </fill>
    <fill>
      <patternFill patternType="solid">
        <fgColor theme="8"/>
        <bgColor theme="8"/>
      </patternFill>
    </fill>
    <fill>
      <patternFill patternType="solid">
        <fgColor theme="6" tint="-0.249977111117893"/>
        <bgColor indexed="64"/>
      </patternFill>
    </fill>
  </fills>
  <borders count="7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rgb="FF4BACC6"/>
      </top>
      <bottom/>
      <diagonal/>
    </border>
    <border>
      <left style="thin">
        <color theme="0"/>
      </left>
      <right/>
      <top/>
      <bottom style="thin">
        <color theme="0"/>
      </bottom>
      <diagonal/>
    </border>
    <border>
      <left/>
      <right/>
      <top/>
      <bottom style="thin">
        <color theme="0"/>
      </bottom>
      <diagonal/>
    </border>
    <border>
      <left/>
      <right/>
      <top style="medium">
        <color theme="3"/>
      </top>
      <bottom style="thin">
        <color theme="3"/>
      </bottom>
      <diagonal/>
    </border>
    <border>
      <left style="medium">
        <color theme="3"/>
      </left>
      <right/>
      <top/>
      <bottom/>
      <diagonal/>
    </border>
    <border>
      <left/>
      <right style="medium">
        <color theme="3"/>
      </right>
      <top/>
      <bottom/>
      <diagonal/>
    </border>
    <border>
      <left style="medium">
        <color theme="3"/>
      </left>
      <right/>
      <top/>
      <bottom style="medium">
        <color theme="3"/>
      </bottom>
      <diagonal/>
    </border>
    <border>
      <left/>
      <right/>
      <top/>
      <bottom style="medium">
        <color theme="3"/>
      </bottom>
      <diagonal/>
    </border>
    <border>
      <left/>
      <right style="medium">
        <color theme="3"/>
      </right>
      <top/>
      <bottom style="medium">
        <color theme="3"/>
      </bottom>
      <diagonal/>
    </border>
    <border>
      <left style="medium">
        <color theme="3"/>
      </left>
      <right/>
      <top style="medium">
        <color theme="3"/>
      </top>
      <bottom style="thin">
        <color theme="0"/>
      </bottom>
      <diagonal/>
    </border>
    <border>
      <left/>
      <right/>
      <top style="medium">
        <color theme="3"/>
      </top>
      <bottom style="thin">
        <color theme="0"/>
      </bottom>
      <diagonal/>
    </border>
    <border>
      <left style="medium">
        <color theme="3"/>
      </left>
      <right/>
      <top/>
      <bottom style="thin">
        <color theme="0"/>
      </bottom>
      <diagonal/>
    </border>
    <border>
      <left style="medium">
        <color theme="3"/>
      </left>
      <right style="medium">
        <color theme="3"/>
      </right>
      <top style="medium">
        <color theme="3"/>
      </top>
      <bottom style="thin">
        <color theme="3"/>
      </bottom>
      <diagonal/>
    </border>
    <border>
      <left style="medium">
        <color theme="3"/>
      </left>
      <right style="medium">
        <color theme="3"/>
      </right>
      <top/>
      <bottom/>
      <diagonal/>
    </border>
    <border>
      <left style="medium">
        <color theme="3"/>
      </left>
      <right style="medium">
        <color theme="3"/>
      </right>
      <top/>
      <bottom style="medium">
        <color theme="3"/>
      </bottom>
      <diagonal/>
    </border>
    <border>
      <left style="medium">
        <color theme="3"/>
      </left>
      <right style="thin">
        <color theme="0"/>
      </right>
      <top style="medium">
        <color theme="3"/>
      </top>
      <bottom style="thin">
        <color theme="0"/>
      </bottom>
      <diagonal/>
    </border>
    <border>
      <left style="thin">
        <color theme="0"/>
      </left>
      <right style="medium">
        <color theme="3"/>
      </right>
      <top style="medium">
        <color theme="3"/>
      </top>
      <bottom style="thin">
        <color theme="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top style="thin">
        <color rgb="FF000000"/>
      </top>
      <bottom style="medium">
        <color rgb="FF000000"/>
      </bottom>
      <diagonal/>
    </border>
    <border>
      <left style="thin">
        <color rgb="FF000000"/>
      </left>
      <right/>
      <top style="medium">
        <color rgb="FF000000"/>
      </top>
      <bottom style="thin">
        <color rgb="FF000000"/>
      </bottom>
      <diagonal/>
    </border>
    <border>
      <left style="medium">
        <color rgb="FF000000"/>
      </left>
      <right style="medium">
        <color rgb="FF000000"/>
      </right>
      <top/>
      <bottom style="medium">
        <color rgb="FF000000"/>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medium">
        <color rgb="FF000000"/>
      </left>
      <right style="medium">
        <color rgb="FF000000"/>
      </right>
      <top style="thin">
        <color rgb="FF000000"/>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rgb="FF000000"/>
      </top>
      <bottom style="thin">
        <color rgb="FF000000"/>
      </bottom>
      <diagonal/>
    </border>
    <border>
      <left/>
      <right style="thin">
        <color rgb="FF000000"/>
      </right>
      <top style="thin">
        <color rgb="FF000000"/>
      </top>
      <bottom/>
      <diagonal/>
    </border>
    <border>
      <left/>
      <right/>
      <top style="medium">
        <color rgb="FF000000"/>
      </top>
      <bottom style="thin">
        <color rgb="FF000000"/>
      </bottom>
      <diagonal/>
    </border>
    <border>
      <left style="thin">
        <color rgb="FF000000"/>
      </left>
      <right style="thin">
        <color rgb="FF000000"/>
      </right>
      <top style="medium">
        <color rgb="FF000000"/>
      </top>
      <bottom/>
      <diagonal/>
    </border>
    <border>
      <left style="thin">
        <color rgb="FF000000"/>
      </left>
      <right style="medium">
        <color rgb="FF000000"/>
      </right>
      <top style="thin">
        <color rgb="FF000000"/>
      </top>
      <bottom/>
      <diagonal/>
    </border>
    <border>
      <left/>
      <right/>
      <top style="thin">
        <color rgb="FF000000"/>
      </top>
      <bottom style="medium">
        <color rgb="FF000000"/>
      </bottom>
      <diagonal/>
    </border>
    <border>
      <left/>
      <right/>
      <top style="thin">
        <color rgb="FF000000"/>
      </top>
      <bottom/>
      <diagonal/>
    </border>
    <border>
      <left style="medium">
        <color rgb="FF000000"/>
      </left>
      <right style="medium">
        <color rgb="FF000000"/>
      </right>
      <top style="medium">
        <color rgb="FF000000"/>
      </top>
      <bottom/>
      <diagonal/>
    </border>
    <border>
      <left style="thin">
        <color rgb="FF000000"/>
      </left>
      <right/>
      <top style="thin">
        <color rgb="FF000000"/>
      </top>
      <bottom/>
      <diagonal/>
    </border>
    <border>
      <left style="thin">
        <color rgb="FF000000"/>
      </left>
      <right/>
      <top style="medium">
        <color rgb="FF000000"/>
      </top>
      <bottom/>
      <diagonal/>
    </border>
    <border>
      <left/>
      <right style="thin">
        <color rgb="FF000000"/>
      </right>
      <top style="medium">
        <color rgb="FF000000"/>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thin">
        <color indexed="64"/>
      </left>
      <right style="thin">
        <color indexed="64"/>
      </right>
      <top/>
      <bottom/>
      <diagonal/>
    </border>
    <border>
      <left style="medium">
        <color rgb="FF000000"/>
      </left>
      <right style="thin">
        <color indexed="64"/>
      </right>
      <top style="thin">
        <color indexed="64"/>
      </top>
      <bottom/>
      <diagonal/>
    </border>
    <border>
      <left style="thin">
        <color indexed="64"/>
      </left>
      <right style="medium">
        <color rgb="FF000000"/>
      </right>
      <top style="thin">
        <color indexed="64"/>
      </top>
      <bottom/>
      <diagonal/>
    </border>
    <border>
      <left style="medium">
        <color rgb="FF000000"/>
      </left>
      <right/>
      <top style="medium">
        <color rgb="FF000000"/>
      </top>
      <bottom style="thin">
        <color indexed="64"/>
      </bottom>
      <diagonal/>
    </border>
    <border>
      <left/>
      <right/>
      <top style="medium">
        <color rgb="FF000000"/>
      </top>
      <bottom style="thin">
        <color indexed="64"/>
      </bottom>
      <diagonal/>
    </border>
    <border>
      <left/>
      <right style="medium">
        <color rgb="FF000000"/>
      </right>
      <top style="medium">
        <color rgb="FF000000"/>
      </top>
      <bottom style="thin">
        <color indexed="64"/>
      </bottom>
      <diagonal/>
    </border>
    <border>
      <left style="medium">
        <color rgb="FF000000"/>
      </left>
      <right style="thin">
        <color indexed="64"/>
      </right>
      <top/>
      <bottom/>
      <diagonal/>
    </border>
    <border>
      <left style="thin">
        <color indexed="64"/>
      </left>
      <right style="medium">
        <color rgb="FF000000"/>
      </right>
      <top/>
      <bottom/>
      <diagonal/>
    </border>
    <border>
      <left style="medium">
        <color rgb="FF000000"/>
      </left>
      <right style="thin">
        <color indexed="64"/>
      </right>
      <top style="medium">
        <color rgb="FF000000"/>
      </top>
      <bottom/>
      <diagonal/>
    </border>
    <border>
      <left style="thin">
        <color indexed="64"/>
      </left>
      <right style="medium">
        <color rgb="FF000000"/>
      </right>
      <top style="medium">
        <color rgb="FF000000"/>
      </top>
      <bottom/>
      <diagonal/>
    </border>
    <border>
      <left style="thin">
        <color indexed="64"/>
      </left>
      <right style="thin">
        <color indexed="64"/>
      </right>
      <top/>
      <bottom style="medium">
        <color rgb="FF000000"/>
      </bottom>
      <diagonal/>
    </border>
  </borders>
  <cellStyleXfs count="2">
    <xf numFmtId="0" fontId="0" fillId="0" borderId="0"/>
    <xf numFmtId="9" fontId="1" fillId="0" borderId="0" applyFont="0" applyFill="0" applyBorder="0" applyAlignment="0" applyProtection="0"/>
  </cellStyleXfs>
  <cellXfs count="147">
    <xf numFmtId="0" fontId="0" fillId="0" borderId="0" xfId="0"/>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0" xfId="0" applyProtection="1">
      <protection locked="0"/>
    </xf>
    <xf numFmtId="164" fontId="0" fillId="0" borderId="0" xfId="0" applyNumberFormat="1" applyProtection="1">
      <protection locked="0"/>
    </xf>
    <xf numFmtId="164" fontId="0" fillId="3" borderId="0" xfId="0" applyNumberFormat="1" applyFill="1" applyProtection="1">
      <protection locked="0"/>
    </xf>
    <xf numFmtId="14" fontId="0" fillId="0" borderId="0" xfId="0" applyNumberFormat="1" applyProtection="1">
      <protection locked="0"/>
    </xf>
    <xf numFmtId="165" fontId="0" fillId="0" borderId="0" xfId="0" applyNumberFormat="1" applyProtection="1">
      <protection locked="0"/>
    </xf>
    <xf numFmtId="164" fontId="0" fillId="3" borderId="0" xfId="0" applyNumberFormat="1" applyFill="1"/>
    <xf numFmtId="165" fontId="0" fillId="3" borderId="0" xfId="0" applyNumberFormat="1" applyFill="1"/>
    <xf numFmtId="0" fontId="0" fillId="0" borderId="0" xfId="0" applyAlignment="1" applyProtection="1">
      <alignment horizontal="left" vertical="center" wrapText="1"/>
      <protection locked="0"/>
    </xf>
    <xf numFmtId="166" fontId="0" fillId="0" borderId="0" xfId="1" applyNumberFormat="1" applyFont="1" applyProtection="1">
      <protection locked="0"/>
    </xf>
    <xf numFmtId="10" fontId="0" fillId="0" borderId="1" xfId="0" applyNumberFormat="1" applyBorder="1" applyProtection="1">
      <protection locked="0"/>
    </xf>
    <xf numFmtId="10" fontId="0" fillId="0" borderId="8" xfId="0" applyNumberFormat="1" applyBorder="1" applyProtection="1">
      <protection locked="0"/>
    </xf>
    <xf numFmtId="0" fontId="4" fillId="0" borderId="0" xfId="0" applyFont="1" applyAlignment="1">
      <alignment horizontal="center" vertical="center" wrapText="1"/>
    </xf>
    <xf numFmtId="0" fontId="0" fillId="0" borderId="0" xfId="0" applyAlignment="1">
      <alignment horizontal="center" vertical="center" wrapText="1"/>
    </xf>
    <xf numFmtId="0" fontId="5" fillId="6" borderId="10" xfId="0" applyFont="1" applyFill="1" applyBorder="1"/>
    <xf numFmtId="0" fontId="0" fillId="0" borderId="0" xfId="0" applyAlignment="1">
      <alignment horizontal="center"/>
    </xf>
    <xf numFmtId="0" fontId="0" fillId="7" borderId="22" xfId="0" applyFill="1" applyBorder="1" applyAlignment="1">
      <alignment horizontal="center"/>
    </xf>
    <xf numFmtId="0" fontId="0" fillId="0" borderId="23" xfId="0" applyBorder="1" applyAlignment="1">
      <alignment horizontal="center" vertical="center" wrapText="1"/>
    </xf>
    <xf numFmtId="0" fontId="6" fillId="0" borderId="0" xfId="0" applyFont="1" applyAlignment="1">
      <alignment horizontal="center" vertical="center" wrapText="1"/>
    </xf>
    <xf numFmtId="0" fontId="0" fillId="0" borderId="21" xfId="0" applyBorder="1" applyAlignment="1">
      <alignment horizontal="center" vertical="center" wrapText="1"/>
    </xf>
    <xf numFmtId="0" fontId="0" fillId="0" borderId="11" xfId="0" applyBorder="1" applyAlignment="1">
      <alignment horizontal="center" vertical="center" wrapText="1"/>
    </xf>
    <xf numFmtId="0" fontId="0" fillId="0" borderId="12" xfId="0" applyBorder="1" applyAlignment="1">
      <alignment horizontal="center" vertical="center" wrapText="1"/>
    </xf>
    <xf numFmtId="0" fontId="0" fillId="0" borderId="14" xfId="0" applyBorder="1" applyAlignment="1">
      <alignment horizontal="center" vertical="center" wrapText="1"/>
    </xf>
    <xf numFmtId="0" fontId="0" fillId="0" borderId="15" xfId="0" applyBorder="1" applyAlignment="1">
      <alignment horizontal="center" vertical="center" wrapText="1"/>
    </xf>
    <xf numFmtId="0" fontId="0" fillId="0" borderId="23" xfId="0" applyBorder="1" applyAlignment="1">
      <alignment horizontal="center"/>
    </xf>
    <xf numFmtId="0" fontId="0" fillId="0" borderId="14" xfId="0" applyBorder="1" applyAlignment="1">
      <alignment horizontal="center"/>
    </xf>
    <xf numFmtId="0" fontId="0" fillId="0" borderId="24" xfId="0" applyBorder="1" applyAlignment="1">
      <alignment horizontal="center"/>
    </xf>
    <xf numFmtId="0" fontId="0" fillId="0" borderId="17" xfId="0" applyBorder="1" applyAlignment="1">
      <alignment horizontal="center"/>
    </xf>
    <xf numFmtId="0" fontId="0" fillId="0" borderId="16" xfId="0" applyBorder="1" applyAlignment="1">
      <alignment horizontal="center"/>
    </xf>
    <xf numFmtId="0" fontId="4" fillId="0" borderId="0" xfId="0" applyFont="1" applyAlignment="1">
      <alignment horizontal="center"/>
    </xf>
    <xf numFmtId="164" fontId="0" fillId="3" borderId="0" xfId="0" applyNumberFormat="1" applyFill="1" applyAlignment="1">
      <alignment horizontal="center"/>
    </xf>
    <xf numFmtId="14" fontId="0" fillId="0" borderId="0" xfId="0" applyNumberFormat="1" applyAlignment="1">
      <alignment horizontal="center"/>
    </xf>
    <xf numFmtId="164" fontId="0" fillId="2" borderId="0" xfId="0" applyNumberFormat="1" applyFill="1" applyAlignment="1" applyProtection="1">
      <alignment horizontal="center"/>
      <protection locked="0"/>
    </xf>
    <xf numFmtId="0" fontId="0" fillId="5" borderId="0" xfId="0" applyFill="1" applyAlignment="1">
      <alignment horizontal="center"/>
    </xf>
    <xf numFmtId="0" fontId="5" fillId="6" borderId="0" xfId="0" applyFont="1" applyFill="1"/>
    <xf numFmtId="10" fontId="0" fillId="2" borderId="0" xfId="1" applyNumberFormat="1" applyFont="1" applyFill="1" applyProtection="1">
      <protection locked="0"/>
    </xf>
    <xf numFmtId="9" fontId="0" fillId="0" borderId="0" xfId="0" applyNumberFormat="1"/>
    <xf numFmtId="0" fontId="7" fillId="0" borderId="0" xfId="0" applyFont="1"/>
    <xf numFmtId="0" fontId="0" fillId="8" borderId="0" xfId="0" applyFill="1" applyAlignment="1">
      <alignment horizontal="center"/>
    </xf>
    <xf numFmtId="0" fontId="0" fillId="0" borderId="15" xfId="0" applyBorder="1" applyAlignment="1">
      <alignment horizontal="center"/>
    </xf>
    <xf numFmtId="0" fontId="0" fillId="0" borderId="18" xfId="0" applyBorder="1" applyAlignment="1">
      <alignment horizontal="center"/>
    </xf>
    <xf numFmtId="10" fontId="0" fillId="0" borderId="0" xfId="1" applyNumberFormat="1" applyFont="1" applyFill="1" applyProtection="1">
      <protection locked="0"/>
    </xf>
    <xf numFmtId="10" fontId="5" fillId="0" borderId="0" xfId="0" applyNumberFormat="1" applyFont="1"/>
    <xf numFmtId="4" fontId="5" fillId="0" borderId="0" xfId="0" applyNumberFormat="1" applyFont="1"/>
    <xf numFmtId="165" fontId="0" fillId="3" borderId="0" xfId="0" applyNumberFormat="1" applyFill="1" applyProtection="1">
      <protection locked="0"/>
    </xf>
    <xf numFmtId="9" fontId="0" fillId="0" borderId="0" xfId="0" applyNumberFormat="1" applyProtection="1">
      <protection locked="0"/>
    </xf>
    <xf numFmtId="10" fontId="0" fillId="3" borderId="0" xfId="0" applyNumberFormat="1" applyFill="1"/>
    <xf numFmtId="164" fontId="5" fillId="6" borderId="0" xfId="0" applyNumberFormat="1" applyFont="1" applyFill="1" applyProtection="1">
      <protection locked="0"/>
    </xf>
    <xf numFmtId="165" fontId="5" fillId="3" borderId="0" xfId="0" applyNumberFormat="1" applyFont="1" applyFill="1"/>
    <xf numFmtId="164" fontId="0" fillId="0" borderId="0" xfId="0" applyNumberFormat="1"/>
    <xf numFmtId="0" fontId="0" fillId="0" borderId="31" xfId="0" applyBorder="1" applyAlignment="1">
      <alignment wrapText="1"/>
    </xf>
    <xf numFmtId="0" fontId="0" fillId="0" borderId="40" xfId="0" applyBorder="1"/>
    <xf numFmtId="0" fontId="0" fillId="0" borderId="41" xfId="0" applyBorder="1"/>
    <xf numFmtId="0" fontId="0" fillId="0" borderId="34" xfId="0" applyBorder="1" applyAlignment="1">
      <alignment horizontal="left"/>
    </xf>
    <xf numFmtId="9" fontId="0" fillId="0" borderId="34" xfId="0" applyNumberFormat="1" applyBorder="1" applyAlignment="1">
      <alignment horizontal="left"/>
    </xf>
    <xf numFmtId="0" fontId="0" fillId="0" borderId="43" xfId="0" applyBorder="1" applyAlignment="1">
      <alignment wrapText="1"/>
    </xf>
    <xf numFmtId="0" fontId="0" fillId="0" borderId="42" xfId="0" applyBorder="1"/>
    <xf numFmtId="0" fontId="0" fillId="0" borderId="43" xfId="0" applyBorder="1" applyAlignment="1">
      <alignment vertical="center" wrapText="1"/>
    </xf>
    <xf numFmtId="0" fontId="0" fillId="0" borderId="44" xfId="0" applyBorder="1" applyAlignment="1">
      <alignment horizontal="left"/>
    </xf>
    <xf numFmtId="9" fontId="0" fillId="0" borderId="44" xfId="0" applyNumberFormat="1" applyBorder="1" applyAlignment="1">
      <alignment horizontal="left"/>
    </xf>
    <xf numFmtId="0" fontId="0" fillId="0" borderId="46" xfId="0" applyBorder="1" applyAlignment="1">
      <alignment horizontal="left"/>
    </xf>
    <xf numFmtId="0" fontId="0" fillId="0" borderId="47" xfId="0" applyBorder="1" applyAlignment="1">
      <alignment wrapText="1"/>
    </xf>
    <xf numFmtId="0" fontId="0" fillId="0" borderId="49" xfId="0" applyBorder="1" applyAlignment="1">
      <alignment horizontal="left"/>
    </xf>
    <xf numFmtId="0" fontId="0" fillId="0" borderId="39" xfId="0" applyBorder="1" applyAlignment="1">
      <alignment wrapText="1"/>
    </xf>
    <xf numFmtId="0" fontId="0" fillId="0" borderId="45" xfId="0" applyBorder="1" applyAlignment="1">
      <alignment vertical="center" wrapText="1"/>
    </xf>
    <xf numFmtId="0" fontId="0" fillId="0" borderId="50" xfId="0" applyBorder="1" applyAlignment="1">
      <alignment horizontal="left"/>
    </xf>
    <xf numFmtId="0" fontId="4" fillId="0" borderId="29" xfId="0" applyFont="1" applyBorder="1" applyAlignment="1">
      <alignment horizontal="center" vertical="center" wrapText="1"/>
    </xf>
    <xf numFmtId="0" fontId="4" fillId="0" borderId="36" xfId="0" applyFont="1" applyBorder="1" applyAlignment="1">
      <alignment vertical="center" wrapText="1"/>
    </xf>
    <xf numFmtId="0" fontId="4" fillId="0" borderId="51" xfId="0" applyFont="1" applyBorder="1" applyAlignment="1">
      <alignment wrapText="1"/>
    </xf>
    <xf numFmtId="0" fontId="0" fillId="0" borderId="52" xfId="0" applyBorder="1" applyAlignment="1">
      <alignment vertical="center" wrapText="1"/>
    </xf>
    <xf numFmtId="0" fontId="0" fillId="0" borderId="53" xfId="0" applyBorder="1" applyAlignment="1">
      <alignment wrapText="1"/>
    </xf>
    <xf numFmtId="0" fontId="0" fillId="0" borderId="52" xfId="0" applyBorder="1" applyAlignment="1">
      <alignment wrapText="1"/>
    </xf>
    <xf numFmtId="0" fontId="0" fillId="0" borderId="54" xfId="0" applyBorder="1" applyAlignment="1">
      <alignment vertical="center" wrapText="1"/>
    </xf>
    <xf numFmtId="0" fontId="4" fillId="0" borderId="55" xfId="0" applyFont="1" applyBorder="1" applyAlignment="1">
      <alignment wrapText="1"/>
    </xf>
    <xf numFmtId="0" fontId="4" fillId="0" borderId="33" xfId="0" applyFont="1" applyBorder="1" applyAlignment="1">
      <alignment wrapText="1"/>
    </xf>
    <xf numFmtId="0" fontId="0" fillId="0" borderId="56" xfId="0" applyBorder="1" applyProtection="1">
      <protection locked="0"/>
    </xf>
    <xf numFmtId="0" fontId="0" fillId="0" borderId="57" xfId="0" applyBorder="1"/>
    <xf numFmtId="10" fontId="0" fillId="0" borderId="57" xfId="0" applyNumberFormat="1" applyBorder="1" applyProtection="1">
      <protection locked="0"/>
    </xf>
    <xf numFmtId="167" fontId="0" fillId="0" borderId="58" xfId="0" applyNumberFormat="1" applyBorder="1" applyProtection="1">
      <protection locked="0"/>
    </xf>
    <xf numFmtId="0" fontId="0" fillId="0" borderId="59" xfId="0" applyBorder="1" applyProtection="1">
      <protection locked="0"/>
    </xf>
    <xf numFmtId="167" fontId="0" fillId="0" borderId="60" xfId="0" applyNumberFormat="1" applyBorder="1" applyProtection="1">
      <protection locked="0"/>
    </xf>
    <xf numFmtId="0" fontId="0" fillId="0" borderId="61" xfId="0" applyBorder="1" applyProtection="1">
      <protection locked="0"/>
    </xf>
    <xf numFmtId="0" fontId="0" fillId="0" borderId="62" xfId="0" applyBorder="1"/>
    <xf numFmtId="10" fontId="0" fillId="0" borderId="62" xfId="0" applyNumberFormat="1" applyBorder="1" applyProtection="1">
      <protection locked="0"/>
    </xf>
    <xf numFmtId="0" fontId="0" fillId="0" borderId="64" xfId="0" applyBorder="1" applyProtection="1">
      <protection locked="0"/>
    </xf>
    <xf numFmtId="0" fontId="0" fillId="0" borderId="58" xfId="0" applyBorder="1" applyProtection="1">
      <protection locked="0"/>
    </xf>
    <xf numFmtId="0" fontId="0" fillId="0" borderId="60" xfId="0" applyBorder="1" applyProtection="1">
      <protection locked="0"/>
    </xf>
    <xf numFmtId="0" fontId="0" fillId="0" borderId="65" xfId="0" applyBorder="1" applyProtection="1">
      <protection locked="0"/>
    </xf>
    <xf numFmtId="167" fontId="0" fillId="0" borderId="66" xfId="0" applyNumberFormat="1" applyBorder="1" applyProtection="1">
      <protection locked="0"/>
    </xf>
    <xf numFmtId="0" fontId="0" fillId="0" borderId="66" xfId="0" applyBorder="1" applyProtection="1">
      <protection locked="0"/>
    </xf>
    <xf numFmtId="11" fontId="0" fillId="0" borderId="58" xfId="0" applyNumberFormat="1" applyBorder="1" applyProtection="1">
      <protection locked="0"/>
    </xf>
    <xf numFmtId="11" fontId="0" fillId="0" borderId="60" xfId="0" applyNumberFormat="1" applyBorder="1" applyProtection="1">
      <protection locked="0"/>
    </xf>
    <xf numFmtId="11" fontId="0" fillId="0" borderId="63" xfId="0" applyNumberFormat="1" applyBorder="1" applyProtection="1">
      <protection locked="0"/>
    </xf>
    <xf numFmtId="0" fontId="0" fillId="0" borderId="70" xfId="0" applyBorder="1" applyProtection="1">
      <protection locked="0"/>
    </xf>
    <xf numFmtId="0" fontId="0" fillId="0" borderId="71" xfId="0" applyBorder="1" applyProtection="1">
      <protection locked="0"/>
    </xf>
    <xf numFmtId="0" fontId="0" fillId="0" borderId="34" xfId="0" applyBorder="1" applyProtection="1">
      <protection locked="0"/>
    </xf>
    <xf numFmtId="0" fontId="7" fillId="0" borderId="34" xfId="0" applyFont="1" applyBorder="1"/>
    <xf numFmtId="10" fontId="0" fillId="0" borderId="34" xfId="0" applyNumberFormat="1" applyBorder="1" applyProtection="1">
      <protection locked="0"/>
    </xf>
    <xf numFmtId="0" fontId="0" fillId="0" borderId="30" xfId="0" applyBorder="1" applyProtection="1">
      <protection locked="0"/>
    </xf>
    <xf numFmtId="10" fontId="0" fillId="0" borderId="40" xfId="0" applyNumberFormat="1" applyBorder="1" applyAlignment="1" applyProtection="1">
      <alignment wrapText="1"/>
      <protection locked="0"/>
    </xf>
    <xf numFmtId="0" fontId="0" fillId="0" borderId="38" xfId="0" applyBorder="1" applyProtection="1">
      <protection locked="0"/>
    </xf>
    <xf numFmtId="0" fontId="7" fillId="0" borderId="39" xfId="0" applyFont="1" applyBorder="1"/>
    <xf numFmtId="0" fontId="0" fillId="0" borderId="35" xfId="0" applyBorder="1" applyProtection="1">
      <protection locked="0"/>
    </xf>
    <xf numFmtId="0" fontId="7" fillId="0" borderId="43" xfId="0" applyFont="1" applyBorder="1"/>
    <xf numFmtId="10" fontId="0" fillId="0" borderId="43" xfId="0" applyNumberFormat="1" applyBorder="1" applyProtection="1">
      <protection locked="0"/>
    </xf>
    <xf numFmtId="0" fontId="0" fillId="0" borderId="72" xfId="0" applyBorder="1" applyProtection="1">
      <protection locked="0"/>
    </xf>
    <xf numFmtId="167" fontId="0" fillId="3" borderId="73" xfId="0" applyNumberFormat="1" applyFill="1" applyBorder="1" applyProtection="1">
      <protection locked="0"/>
    </xf>
    <xf numFmtId="167" fontId="0" fillId="3" borderId="66" xfId="0" applyNumberFormat="1" applyFill="1" applyBorder="1" applyProtection="1">
      <protection locked="0"/>
    </xf>
    <xf numFmtId="167" fontId="0" fillId="3" borderId="63" xfId="0" applyNumberFormat="1" applyFill="1" applyBorder="1" applyProtection="1">
      <protection locked="0"/>
    </xf>
    <xf numFmtId="167" fontId="0" fillId="3" borderId="71" xfId="0" applyNumberFormat="1" applyFill="1" applyBorder="1" applyProtection="1">
      <protection locked="0"/>
    </xf>
    <xf numFmtId="167" fontId="0" fillId="3" borderId="28" xfId="0" applyNumberFormat="1" applyFill="1" applyBorder="1" applyProtection="1">
      <protection locked="0"/>
    </xf>
    <xf numFmtId="167" fontId="0" fillId="3" borderId="37" xfId="0" applyNumberFormat="1" applyFill="1" applyBorder="1" applyProtection="1">
      <protection locked="0"/>
    </xf>
    <xf numFmtId="167" fontId="0" fillId="3" borderId="48" xfId="0" applyNumberFormat="1" applyFill="1" applyBorder="1" applyProtection="1">
      <protection locked="0"/>
    </xf>
    <xf numFmtId="2" fontId="0" fillId="0" borderId="1" xfId="0" applyNumberFormat="1" applyBorder="1" applyProtection="1">
      <protection locked="0"/>
    </xf>
    <xf numFmtId="2" fontId="0" fillId="0" borderId="64" xfId="0" applyNumberFormat="1" applyBorder="1" applyProtection="1">
      <protection locked="0"/>
    </xf>
    <xf numFmtId="164" fontId="0" fillId="0" borderId="0" xfId="0" applyNumberFormat="1" applyAlignment="1">
      <alignment horizontal="center"/>
    </xf>
    <xf numFmtId="164" fontId="0" fillId="0" borderId="17" xfId="0" applyNumberFormat="1" applyBorder="1" applyAlignment="1">
      <alignment horizontal="center"/>
    </xf>
    <xf numFmtId="2" fontId="0" fillId="0" borderId="74" xfId="0" applyNumberFormat="1" applyBorder="1" applyProtection="1">
      <protection locked="0"/>
    </xf>
    <xf numFmtId="2" fontId="0" fillId="0" borderId="57" xfId="0" applyNumberFormat="1" applyBorder="1" applyProtection="1">
      <protection locked="0"/>
    </xf>
    <xf numFmtId="2" fontId="0" fillId="0" borderId="62" xfId="0" applyNumberFormat="1" applyBorder="1" applyProtection="1">
      <protection locked="0"/>
    </xf>
    <xf numFmtId="0" fontId="2" fillId="9" borderId="8" xfId="0" applyFont="1" applyFill="1" applyBorder="1"/>
    <xf numFmtId="167" fontId="0" fillId="0" borderId="34" xfId="0" applyNumberFormat="1" applyBorder="1"/>
    <xf numFmtId="0" fontId="4" fillId="10" borderId="0" xfId="0" applyFont="1" applyFill="1" applyAlignment="1">
      <alignment horizontal="center" vertical="center" wrapText="1"/>
    </xf>
    <xf numFmtId="0" fontId="2" fillId="4" borderId="67" xfId="0" applyFont="1" applyFill="1" applyBorder="1" applyAlignment="1">
      <alignment horizontal="center"/>
    </xf>
    <xf numFmtId="0" fontId="2" fillId="4" borderId="68" xfId="0" applyFont="1" applyFill="1" applyBorder="1" applyAlignment="1">
      <alignment horizontal="center"/>
    </xf>
    <xf numFmtId="0" fontId="2" fillId="4" borderId="69" xfId="0" applyFont="1" applyFill="1" applyBorder="1" applyAlignment="1">
      <alignment horizontal="center"/>
    </xf>
    <xf numFmtId="0" fontId="2" fillId="7" borderId="13" xfId="0" applyFont="1" applyFill="1" applyBorder="1" applyAlignment="1">
      <alignment horizontal="center"/>
    </xf>
    <xf numFmtId="0" fontId="2" fillId="7" borderId="19" xfId="0" applyFont="1" applyFill="1" applyBorder="1" applyAlignment="1">
      <alignment horizontal="center"/>
    </xf>
    <xf numFmtId="0" fontId="2" fillId="7" borderId="20" xfId="0" applyFont="1" applyFill="1" applyBorder="1" applyAlignment="1">
      <alignment horizontal="center"/>
    </xf>
    <xf numFmtId="0" fontId="0" fillId="7" borderId="25" xfId="0" applyFill="1" applyBorder="1" applyAlignment="1">
      <alignment horizontal="center"/>
    </xf>
    <xf numFmtId="0" fontId="0" fillId="7" borderId="26" xfId="0" applyFill="1" applyBorder="1" applyAlignment="1">
      <alignment horizontal="center"/>
    </xf>
    <xf numFmtId="0" fontId="0" fillId="0" borderId="32" xfId="0" applyBorder="1" applyAlignment="1">
      <alignment horizontal="center" vertical="center" wrapText="1"/>
    </xf>
    <xf numFmtId="0" fontId="0" fillId="0" borderId="54" xfId="0" applyBorder="1" applyAlignment="1">
      <alignment horizontal="center" vertical="center" wrapText="1"/>
    </xf>
    <xf numFmtId="0" fontId="0" fillId="0" borderId="46" xfId="0" applyBorder="1" applyAlignment="1">
      <alignment horizontal="center" vertical="center" wrapText="1"/>
    </xf>
    <xf numFmtId="0" fontId="0" fillId="0" borderId="30" xfId="0" applyBorder="1" applyAlignment="1">
      <alignment horizontal="center" vertical="center"/>
    </xf>
    <xf numFmtId="0" fontId="0" fillId="0" borderId="38" xfId="0" applyBorder="1" applyAlignment="1">
      <alignment horizontal="center" vertical="center"/>
    </xf>
    <xf numFmtId="0" fontId="0" fillId="0" borderId="35" xfId="0" applyBorder="1" applyAlignment="1">
      <alignment horizontal="center" vertical="center"/>
    </xf>
    <xf numFmtId="0" fontId="0" fillId="0" borderId="27" xfId="0" applyBorder="1" applyAlignment="1">
      <alignment horizontal="center" vertical="center"/>
    </xf>
  </cellXfs>
  <cellStyles count="2">
    <cellStyle name="Normal" xfId="0" builtinId="0"/>
    <cellStyle name="Porcentaje" xfId="1" builtinId="5"/>
  </cellStyles>
  <dxfs count="103">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numFmt numFmtId="164" formatCode="0.0000"/>
      <protection locked="0" hidden="0"/>
    </dxf>
    <dxf>
      <numFmt numFmtId="19" formatCode="m/d/yyyy"/>
      <protection locked="0" hidden="0"/>
    </dxf>
    <dxf>
      <numFmt numFmtId="165" formatCode="0.0"/>
      <fill>
        <patternFill patternType="solid">
          <fgColor indexed="64"/>
          <bgColor theme="0" tint="-4.9989318521683403E-2"/>
        </patternFill>
      </fill>
    </dxf>
    <dxf>
      <numFmt numFmtId="164" formatCode="0.0000"/>
      <protection locked="0" hidden="0"/>
    </dxf>
    <dxf>
      <numFmt numFmtId="164" formatCode="0.0000"/>
      <protection locked="0" hidden="0"/>
    </dxf>
    <dxf>
      <numFmt numFmtId="14" formatCode="0.00%"/>
      <fill>
        <patternFill patternType="solid">
          <fgColor indexed="64"/>
          <bgColor theme="0" tint="-4.9989318521683403E-2"/>
        </patternFill>
      </fill>
    </dxf>
    <dxf>
      <protection locked="0" hidden="0"/>
    </dxf>
    <dxf>
      <protection locked="0" hidden="0"/>
    </dxf>
    <dxf>
      <numFmt numFmtId="0" formatCode="General"/>
      <protection locked="0" hidden="0"/>
    </dxf>
    <dxf>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alignment horizontal="left" vertical="center" textRotation="0" wrapText="1" indent="0" justifyLastLine="0" shrinkToFit="0" readingOrder="0"/>
      <protection locked="0" hidden="0"/>
    </dxf>
    <dxf>
      <fill>
        <patternFill patternType="none">
          <fgColor indexed="64"/>
          <bgColor theme="0"/>
        </patternFill>
      </fill>
      <alignment horizontal="center"/>
    </dxf>
    <dxf>
      <alignment horizontal="center"/>
      <border>
        <left style="medium">
          <color theme="3"/>
        </left>
      </border>
    </dxf>
    <dxf>
      <numFmt numFmtId="164" formatCode="0.0000"/>
      <alignment horizontal="center"/>
    </dxf>
    <dxf>
      <alignment horizontal="center"/>
    </dxf>
    <dxf>
      <alignment horizontal="center"/>
    </dxf>
    <dxf>
      <alignment horizontal="center"/>
      <border>
        <left style="medium">
          <color theme="3"/>
        </left>
      </border>
    </dxf>
    <dxf>
      <alignment horizontal="center"/>
    </dxf>
    <dxf>
      <alignment horizontal="center"/>
    </dxf>
    <dxf>
      <alignment horizontal="center"/>
    </dxf>
    <dxf>
      <alignment horizontal="center"/>
    </dxf>
    <dxf>
      <alignment horizontal="center"/>
    </dxf>
    <dxf>
      <alignment horizontal="center"/>
      <border>
        <left style="medium">
          <color theme="3"/>
        </left>
      </border>
    </dxf>
    <dxf>
      <alignment horizontal="center"/>
      <border>
        <left style="medium">
          <color theme="3"/>
        </left>
        <right style="medium">
          <color theme="3"/>
        </right>
      </border>
    </dxf>
    <dxf>
      <alignment horizontal="center"/>
    </dxf>
    <dxf>
      <alignment horizontal="center" vertical="center" wrapText="1"/>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b/>
        <i val="0"/>
        <strike val="0"/>
        <condense val="0"/>
        <extend val="0"/>
        <outline val="0"/>
        <shadow val="0"/>
        <u val="none"/>
        <vertAlign val="baseline"/>
        <sz val="11"/>
        <color theme="1"/>
        <name val="Calibri"/>
        <family val="2"/>
        <scheme val="minor"/>
      </font>
      <alignment horizontal="center"/>
    </dxf>
    <dxf>
      <numFmt numFmtId="164" formatCode="0.0000"/>
      <protection locked="0" hidden="0"/>
    </dxf>
    <dxf>
      <protection locked="0" hidden="0"/>
    </dxf>
    <dxf>
      <numFmt numFmtId="164" formatCode="0.0000"/>
      <protection locked="0" hidden="0"/>
    </dxf>
    <dxf>
      <numFmt numFmtId="165" formatCode="0.0"/>
      <fill>
        <patternFill patternType="solid">
          <fgColor indexed="64"/>
          <bgColor theme="0" tint="-4.9989318521683403E-2"/>
        </patternFill>
      </fill>
    </dxf>
    <dxf>
      <numFmt numFmtId="164" formatCode="0.0000"/>
      <protection locked="0" hidden="0"/>
    </dxf>
    <dxf>
      <numFmt numFmtId="165" formatCode="0.0"/>
      <fill>
        <patternFill patternType="solid">
          <fgColor indexed="64"/>
          <bgColor theme="0" tint="-4.9989318521683403E-2"/>
        </patternFill>
      </fill>
    </dxf>
    <dxf>
      <numFmt numFmtId="164" formatCode="0.0000"/>
      <protection locked="0" hidden="0"/>
    </dxf>
    <dxf>
      <protection locked="0" hidden="0"/>
    </dxf>
    <dxf>
      <protection locked="0" hidden="0"/>
    </dxf>
    <dxf>
      <protection locked="0" hidden="0"/>
    </dxf>
    <dxf>
      <numFmt numFmtId="0" formatCode="General"/>
      <protection locked="0" hidden="0"/>
    </dxf>
    <dxf>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alignment horizontal="left" vertical="center" textRotation="0" wrapText="1" indent="0" justifyLastLine="0" shrinkToFit="0" readingOrder="0"/>
      <protection locked="0" hidden="0"/>
    </dxf>
    <dxf>
      <font>
        <b val="0"/>
        <i val="0"/>
        <strike val="0"/>
        <condense val="0"/>
        <extend val="0"/>
        <outline val="0"/>
        <shadow val="0"/>
        <u val="none"/>
        <vertAlign val="baseline"/>
        <sz val="11"/>
        <color theme="1"/>
        <name val="Calibri"/>
        <family val="2"/>
        <scheme val="minor"/>
      </font>
      <numFmt numFmtId="167" formatCode="0.0000E+00"/>
      <border diagonalUp="0" diagonalDown="0">
        <left style="thin">
          <color indexed="64"/>
        </left>
        <right/>
        <top style="thin">
          <color indexed="64"/>
        </top>
        <bottom style="thin">
          <color indexed="64"/>
        </bottom>
        <vertical/>
        <horizontal/>
      </border>
      <protection locked="0" hidden="0"/>
    </dxf>
    <dxf>
      <font>
        <b val="0"/>
        <i val="0"/>
        <strike val="0"/>
        <condense val="0"/>
        <extend val="0"/>
        <outline val="0"/>
        <shadow val="0"/>
        <u val="none"/>
        <vertAlign val="baseline"/>
        <sz val="11"/>
        <color theme="1"/>
        <name val="Calibri"/>
        <family val="2"/>
        <scheme val="minor"/>
      </font>
      <numFmt numFmtId="14" formatCode="0.0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right style="thin">
          <color indexed="64"/>
        </right>
        <top style="thin">
          <color indexed="64"/>
        </top>
        <bottom style="thin">
          <color indexed="64"/>
        </bottom>
        <vertical/>
        <horizontal/>
      </border>
      <protection locked="0" hidden="0"/>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border diagonalUp="0" diagonalDown="0" outline="0">
        <left style="thin">
          <color indexed="64"/>
        </left>
        <right style="thin">
          <color indexed="64"/>
        </right>
        <top/>
        <bottom/>
      </border>
      <protection locked="0" hidden="0"/>
    </dxf>
    <dxf>
      <font>
        <b val="0"/>
        <i val="0"/>
        <strike val="0"/>
        <condense val="0"/>
        <extend val="0"/>
        <outline val="0"/>
        <shadow val="0"/>
        <u val="none"/>
        <vertAlign val="baseline"/>
        <sz val="11"/>
        <color theme="1"/>
        <name val="Calibri"/>
        <family val="2"/>
        <scheme val="minor"/>
      </font>
      <border diagonalUp="0" diagonalDown="0">
        <left style="thin">
          <color indexed="64"/>
        </left>
        <right/>
        <top style="thin">
          <color indexed="64"/>
        </top>
        <bottom style="thin">
          <color indexed="64"/>
        </bottom>
        <vertical/>
        <horizontal/>
      </border>
      <protection locked="0" hidden="0"/>
    </dxf>
    <dxf>
      <font>
        <b val="0"/>
        <i val="0"/>
        <strike val="0"/>
        <condense val="0"/>
        <extend val="0"/>
        <outline val="0"/>
        <shadow val="0"/>
        <u val="none"/>
        <vertAlign val="baseline"/>
        <sz val="11"/>
        <color theme="1"/>
        <name val="Calibri"/>
        <family val="2"/>
        <scheme val="minor"/>
      </font>
      <numFmt numFmtId="14" formatCode="0.0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right style="thin">
          <color indexed="64"/>
        </right>
        <top style="thin">
          <color indexed="64"/>
        </top>
        <bottom style="thin">
          <color indexed="64"/>
        </bottom>
        <vertical/>
        <horizontal/>
      </border>
      <protection locked="0" hidden="0"/>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border diagonalUp="0" diagonalDown="0" outline="0">
        <left style="thin">
          <color indexed="64"/>
        </left>
        <right style="thin">
          <color indexed="64"/>
        </right>
        <top/>
        <bottom/>
      </border>
      <protection locked="0" hidden="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DF7BC46-39E8-4835-9B9E-D8B62911BF99}" name="Table3" displayName="Table3" ref="A2:D17" totalsRowShown="0" headerRowDxfId="102" headerRowBorderDxfId="100" tableBorderDxfId="101" totalsRowBorderDxfId="99">
  <autoFilter ref="A2:D17" xr:uid="{FDF7BC46-39E8-4835-9B9E-D8B62911BF99}"/>
  <tableColumns count="4">
    <tableColumn id="1" xr3:uid="{60B48867-AA81-47B2-B9DD-C13ECB584ED6}" name="Parameter" dataDxfId="98"/>
    <tableColumn id="2" xr3:uid="{40C056E9-2C81-4E7F-87D4-1EB567FFD00C}" name="Sample" dataDxfId="97"/>
    <tableColumn id="3" xr3:uid="{9469A439-0374-43C5-8C72-489E56F9407D}" name="Average (%)" dataDxfId="96">
      <calculatedColumnFormula array="1">AVERAGEIFS(
  _xlfn.SWITCH(A3,"Moisture",'1_RawMaterial'!K:K,"Ash",'1_RawMaterial'!L:L,"Protein",'1_RawMaterial'!N:N,"Gluten",'1_RawMaterial'!P:P),
  '1_RawMaterial'!D:D, A3,
  '1_RawMaterial'!C:C, B3
)</calculatedColumnFormula>
    </tableColumn>
    <tableColumn id="4" xr3:uid="{3FE075BD-2D07-4C47-B486-C015113DA7FE}" name="SD (%)" dataDxfId="95">
      <calculatedColumnFormula array="1">_xlfn.STDEV.S(
  _xlfn._xlws.FILTER(
    _xlfn.SWITCH(A3,"Moisture",'1_RawMaterial'!K:K,"Ash",'1_RawMaterial'!L:L,"Protein",'1_RawMaterial'!N:N,"Gluten",'1_RawMaterial'!P:P),
    ('1_RawMaterial'!D:D=A3)*('1_RawMaterial'!C:C=B3)
  )
)</calculatedColumnFormula>
    </tableColumn>
  </tableColumns>
  <tableStyleInfo name="TableStyleLight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84429DD-A745-4676-9A70-A0770525A20B}" name="Table38" displayName="Table38" ref="F2:I27" totalsRowShown="0" headerRowDxfId="94" headerRowBorderDxfId="92" tableBorderDxfId="93" totalsRowBorderDxfId="91">
  <autoFilter ref="F2:I27" xr:uid="{484429DD-A745-4676-9A70-A0770525A20B}"/>
  <tableColumns count="4">
    <tableColumn id="1" xr3:uid="{4719B071-C0C3-4F1A-AD00-A1B77416C884}" name="Parameter" dataDxfId="90"/>
    <tableColumn id="2" xr3:uid="{053324E7-5DD7-4A94-A77D-14E694500B97}" name="Sample" dataDxfId="89"/>
    <tableColumn id="3" xr3:uid="{082A0EC7-4189-444A-AD77-DAD213B47EA1}" name="Average (%)" dataDxfId="88">
      <calculatedColumnFormula array="1">AVERAGEIFS(
    _xlfn.SWITCH($F3,
        "Moisture", '4_BreadComposition'!$J:$J,
        "Ash",      '4_BreadComposition'!$L:$L,
        "Protein",  '4_BreadComposition'!$N:$N
    ),
    '4_BreadComposition'!$C:$C, $G3,
    '4_BreadComposition'!$D:$D, $F3
)</calculatedColumnFormula>
    </tableColumn>
    <tableColumn id="4" xr3:uid="{5F6CEC14-7AF3-49C4-89C7-4D99EB3C12E2}" name="SD (%)" dataDxfId="87">
      <calculatedColumnFormula array="1">_xlfn.STDEV.S(
  _xlfn._xlws.FILTER(
    _xlfn.SWITCH($F3,
        "Moisture", '4_BreadComposition'!$J:$J,
        "Ash",      '4_BreadComposition'!$L:$L,
        "Protein",  '4_BreadComposition'!$N:$N
    ),
    ('4_BreadComposition'!$C:$C = $G3) *
    ('4_BreadComposition'!$D:$D = $F3)
  )
)</calculatedColumnFormula>
    </tableColumn>
  </tableColumns>
  <tableStyleInfo name="TableStyleLight1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38F5462-0582-4AA1-ACD7-E90BAAEDFA54}" name="Table2" displayName="Table2" ref="A1:R31" totalsRowShown="0" headerRowDxfId="86" dataDxfId="85">
  <autoFilter ref="A1:R31" xr:uid="{B38F5462-0582-4AA1-ACD7-E90BAAEDFA54}"/>
  <tableColumns count="18">
    <tableColumn id="1" xr3:uid="{BD0580B3-199F-4031-8F10-41C86561FAA7}" name="N" dataDxfId="84"/>
    <tableColumn id="2" xr3:uid="{21477B95-47F2-4B58-96C9-52BD506005EC}" name="Name" dataDxfId="83">
      <calculatedColumnFormula>_xlfn.CONCAT(C2,"_",D2,"_",E2)</calculatedColumnFormula>
    </tableColumn>
    <tableColumn id="3" xr3:uid="{23FF7A45-7DFE-494B-9149-8E62D9218F57}" name="Sample" dataDxfId="82"/>
    <tableColumn id="4" xr3:uid="{B095C7D2-05D7-498D-A4D5-12CAB81EC136}" name="Parameter" dataDxfId="81"/>
    <tableColumn id="5" xr3:uid="{CE8F5C7E-80FB-4091-97A5-DC91C7F1071D}" name="Rep" dataDxfId="80"/>
    <tableColumn id="6" xr3:uid="{0F29F641-666A-477E-8F5D-9C35745FD69B}" name="Recipient number" dataDxfId="79"/>
    <tableColumn id="7" xr3:uid="{54DA80F1-FA86-4408-BB6A-2F3574796D42}" name="Sample Weight (g)" dataDxfId="78"/>
    <tableColumn id="16" xr3:uid="{E4B74F98-5505-4E47-8531-7DFF400204F7}" name="Incial Weight (g)" dataDxfId="77">
      <calculatedColumnFormula>SUM(_xlfn.XLOOKUP(Table2[[#This Row],[Recipient number]],Extra_RecipientsWeight!A:A,Extra_RecipientsWeight!B:B)+G2)</calculatedColumnFormula>
    </tableColumn>
    <tableColumn id="8" xr3:uid="{7E4DB5BE-CE44-4004-84C8-F3B4FD70EA96}" name="Final Weight (g)" dataDxfId="76"/>
    <tableColumn id="9" xr3:uid="{49379ABB-41EC-4AE4-B29E-86E0138CE39D}" name="Weight Loss (g)" dataDxfId="75">
      <calculatedColumnFormula>G2-I2</calculatedColumnFormula>
    </tableColumn>
    <tableColumn id="10" xr3:uid="{10CE18D3-A8DB-4088-97DA-AEA618E1FDBB}" name="Moisture (%)" dataDxfId="74">
      <calculatedColumnFormula>(G2-I2)/G2*100</calculatedColumnFormula>
    </tableColumn>
    <tableColumn id="15" xr3:uid="{6BAA02C7-1DFB-497D-B2A2-6E789751BD86}" name="Ash" dataDxfId="73">
      <calculatedColumnFormula>NA()</calculatedColumnFormula>
    </tableColumn>
    <tableColumn id="18" xr3:uid="{0B6BD327-23FB-4137-943E-DC17B7CE560A}" name="Dry Matter" dataDxfId="72"/>
    <tableColumn id="14" xr3:uid="{3A781D52-EDBD-420B-851E-57BD14D08732}" name="Consumption of Acid (Protein)" dataDxfId="71">
      <calculatedColumnFormula>NA()</calculatedColumnFormula>
    </tableColumn>
    <tableColumn id="11" xr3:uid="{BA8BCDEB-54C7-42A4-A15F-E23B45752FAB}" name="Crude protein content (100% dry matter)" dataDxfId="70"/>
    <tableColumn id="13" xr3:uid="{C6F21194-D159-48AC-8C15-6D7DCAD597A6}" name="Wet Gluten (%)" dataDxfId="69">
      <calculatedColumnFormula>NA()</calculatedColumnFormula>
    </tableColumn>
    <tableColumn id="12" xr3:uid="{021B0717-C0A1-4E63-9330-9EFB0730E6E8}" name="Date" dataDxfId="68"/>
    <tableColumn id="17" xr3:uid="{E078F0F8-05E2-4574-B700-E9AA719E2C5C}" name="Comments" dataDxfId="67"/>
  </tableColumns>
  <tableStyleInfo name="TableStyleLight1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C010A23-B18C-4CA8-91F0-94198E6C1B09}" name="Tabla4" displayName="Tabla4" ref="A1:Z14" totalsRowShown="0" headerRowDxfId="66" dataDxfId="65">
  <autoFilter ref="A1:Z14" xr:uid="{1C010A23-B18C-4CA8-91F0-94198E6C1B09}"/>
  <sortState xmlns:xlrd2="http://schemas.microsoft.com/office/spreadsheetml/2017/richdata2" ref="A2:Z14">
    <sortCondition descending="1" ref="C1:C14"/>
  </sortState>
  <tableColumns count="26">
    <tableColumn id="1" xr3:uid="{22EED135-82ED-4A61-BACE-F29CCD78A317}" name="N°" dataDxfId="64"/>
    <tableColumn id="2" xr3:uid="{30794813-AACC-4CA6-80C5-DA17E665F967}" name="Sample" dataDxfId="63"/>
    <tableColumn id="3" xr3:uid="{4491AF86-7AC5-49A4-9537-06EE30A57D67}" name="Parameter" dataDxfId="62"/>
    <tableColumn id="4" xr3:uid="{E302A791-C75C-4F9F-8F70-5CE600E7C1E3}" name="Rep" dataDxfId="61"/>
    <tableColumn id="5" xr3:uid="{EF210C36-7738-4F18-B8AF-AE94AFE11F06}" name="Flour Weight (g)" dataDxfId="60"/>
    <tableColumn id="13" xr3:uid="{F7319DE5-7BCD-475D-9467-9053945EECDE}" name="Moisture content (%)" dataDxfId="59"/>
    <tableColumn id="6" xr3:uid="{46294721-83DB-4C9A-B524-551900D9C6E3}" name="Water Added (mL)" dataDxfId="58"/>
    <tableColumn id="7" xr3:uid="{C1F03C98-CD44-4DAC-BCFE-9060F7F533E4}" name="Time (min)" dataDxfId="57"/>
    <tableColumn id="20" xr3:uid="{5481CD6E-F309-4F29-8718-0635A153430A}" name="Temperature (°C)" dataDxfId="56"/>
    <tableColumn id="8" xr3:uid="{3E2EA284-1361-4194-B4F0-9B2714AB8ACD}" name="Consistency (BU)" dataDxfId="55"/>
    <tableColumn id="9" xr3:uid="{F26A262B-947C-422D-B0B1-A1BF4EB5677B}" name="Water absorption set (%)" dataDxfId="54"/>
    <tableColumn id="12" xr3:uid="{4526E796-E62D-43B5-8A43-6640097C6AC5}" name="Water absorption (%) (corrected for 500 FU)" dataDxfId="53"/>
    <tableColumn id="14" xr3:uid="{8BBECEAA-CEED-4DF3-B7FC-813A8263F3D3}" name="Water absorption (%) (corrected to 14%)" dataDxfId="52"/>
    <tableColumn id="15" xr3:uid="{4DE27410-E9B3-42DF-B274-80E7842EFC8D}" name="Development time (min)" dataDxfId="51"/>
    <tableColumn id="16" xr3:uid="{653B25B1-311B-40AE-B877-534301211C35}" name="Stability (min)" dataDxfId="50"/>
    <tableColumn id="17" xr3:uid="{9AE02790-9151-4B6E-8AA1-E88D70EEF168}" name="Degree of softening (FU) (10min after begin)" dataDxfId="49"/>
    <tableColumn id="18" xr3:uid="{F25A0554-4097-40A1-BBCC-8A9D446D31B3}" name="Degree of softening (FU) (12 min after max)" dataDxfId="48"/>
    <tableColumn id="19" xr3:uid="{D7B71297-0E6E-4662-9F77-EE184F1026CB}" name="Farinograph quality number" dataDxfId="47"/>
    <tableColumn id="21" xr3:uid="{A1ACEEAD-B2C9-41C5-A74E-2BB071C97EB0}" name="Heating Rate (°C/min)" dataDxfId="46"/>
    <tableColumn id="22" xr3:uid="{AB12B332-503C-41F6-91B1-7F5A4025F5B5}" name="Sample weight corr. to 14% (g/ml)" dataDxfId="45"/>
    <tableColumn id="25" xr3:uid="{186FE6FD-483E-48EB-9B7B-5D4D2D84110C}" name="Begin of gelatinization (°C)" dataDxfId="44"/>
    <tableColumn id="24" xr3:uid="{BE27B076-26F2-4025-A5FA-B0E38DF73CDA}" name="Gelatinization temperature (°C)" dataDxfId="43"/>
    <tableColumn id="23" xr3:uid="{ED56CF9F-EFD8-4A20-913A-1C00272C72A2}" name="Gelatinization maximum (AU)" dataDxfId="42"/>
    <tableColumn id="10" xr3:uid="{DA9F880E-64A9-4344-A81C-123300787B88}" name="Date" dataDxfId="41"/>
    <tableColumn id="11" xr3:uid="{DC50CE10-6032-4BE0-8E5F-6CF55368AF4F}" name="Comments" dataDxfId="40"/>
    <tableColumn id="26" xr3:uid="{0097FBDA-6602-4E7B-AB7F-371DCF1B8911}" name="Results &amp; conclusion" dataDxfId="39"/>
  </tableColumns>
  <tableStyleInfo name="TableStyleLight1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8D3F784-0940-455C-AC8E-22D5FF3278A0}" name="Tabla5" displayName="Tabla5" ref="A2:M7" totalsRowShown="0" headerRowDxfId="38" dataDxfId="37">
  <autoFilter ref="A2:M7" xr:uid="{D8D3F784-0940-455C-AC8E-22D5FF3278A0}"/>
  <tableColumns count="13">
    <tableColumn id="1" xr3:uid="{BDC66430-9068-4B60-AB84-618F72719947}" name="Sample ID" dataDxfId="36"/>
    <tableColumn id="2" xr3:uid="{C16814D9-3647-4489-9A05-6E4CCE37335E}" name="Flour (g)" dataDxfId="35"/>
    <tableColumn id="3" xr3:uid="{0C822DDC-F2C4-4207-B0F5-DEDA48742517}" name="BSG Level (%)" dataDxfId="34"/>
    <tableColumn id="4" xr3:uid="{BB73ACD7-5C61-4CF3-B341-E5A4E36513CA}" name="Yeast (g)" dataDxfId="33"/>
    <tableColumn id="5" xr3:uid="{16673E80-D7D0-4B8D-B4D9-E261F8862F63}" name="Salt (g)" dataDxfId="32"/>
    <tableColumn id="6" xr3:uid="{E40AF194-F573-4F05-A8A5-D50DCD665724}" name="Sugar (g)" dataDxfId="31"/>
    <tableColumn id="7" xr3:uid="{F79AED59-5FE4-4ED3-8339-D650A5EE3D6F}" name="Water (ml)" dataDxfId="30"/>
    <tableColumn id="8" xr3:uid="{2FAF4D09-C302-4999-8AD0-48CB6244046F}" name="Weight dough (g)" dataDxfId="29"/>
    <tableColumn id="9" xr3:uid="{D589309E-E016-49EE-9E14-4854212CD960}" name="Weight bread (g)" dataDxfId="28"/>
    <tableColumn id="10" xr3:uid="{0C2BF042-1CF1-470C-B161-9FC95050830D}" name="Volume (ml)" dataDxfId="27"/>
    <tableColumn id="11" xr3:uid="{D5B6DD0F-34B7-41BF-B3E7-1A2FD69AD872}" name="Height/Width" dataDxfId="26"/>
    <tableColumn id="13" xr3:uid="{0C4386B3-4EA2-4229-A610-723D86C54A40}" name="Date" dataDxfId="25"/>
    <tableColumn id="14" xr3:uid="{183C31E7-A0FD-4973-96E6-DC5E9EB65DC4}" name="Comments" dataDxfId="24"/>
  </tableColumns>
  <tableStyleInfo name="TableStyleLight1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0A6EE46-2EA1-45F0-A4D9-1D5AD8B5B7C7}" name="Table27" displayName="Table27" ref="A1:P26" totalsRowShown="0" headerRowDxfId="23" dataDxfId="22">
  <autoFilter ref="A1:P26" xr:uid="{B38F5462-0582-4AA1-ACD7-E90BAAEDFA54}"/>
  <tableColumns count="16">
    <tableColumn id="1" xr3:uid="{5B1D933B-C5CC-416B-B652-602989036859}" name="N" dataDxfId="21"/>
    <tableColumn id="2" xr3:uid="{754CDCEA-B100-447C-A4F5-EF30754A71C6}" name="Name" dataDxfId="20">
      <calculatedColumnFormula>_xlfn.CONCAT(C2,"_",D2,"_",E2)</calculatedColumnFormula>
    </tableColumn>
    <tableColumn id="3" xr3:uid="{717BF533-4822-4C52-B665-DD39DC1937A1}" name="Sample" dataDxfId="19"/>
    <tableColumn id="4" xr3:uid="{14AE18BB-3546-4E32-B3DC-27E2895FDD99}" name="Parameter" dataDxfId="18"/>
    <tableColumn id="5" xr3:uid="{F7570A51-A6C4-4AC5-869E-B0CC70028B71}" name="Rep" dataDxfId="17"/>
    <tableColumn id="6" xr3:uid="{DDAF2B07-20A8-4B27-A20D-475D47710F4D}" name="Recipient number" dataDxfId="16"/>
    <tableColumn id="7" xr3:uid="{EAC1B96A-6663-4AEE-A8E9-000702261ABB}" name="Sample Weight (g)" dataDxfId="15"/>
    <tableColumn id="16" xr3:uid="{6733B247-B851-4C2F-9F30-EE2EFF52428F}" name="Incial Weight (g)" dataDxfId="14">
      <calculatedColumnFormula>SUM(_xlfn.XLOOKUP(Table27[[#This Row],[Recipient number]],Extra_RecipientsWeight!A:A,Extra_RecipientsWeight!B:B)+G2)</calculatedColumnFormula>
    </tableColumn>
    <tableColumn id="8" xr3:uid="{F554C815-6260-41FE-AC2B-EB3568FBA1CC}" name="Final Weight (g)" dataDxfId="13"/>
    <tableColumn id="10" xr3:uid="{FD41146A-5D60-4DB3-8914-713122AF4133}" name="Moisture (%)" dataDxfId="12">
      <calculatedColumnFormula>(G2-I2)/G2*100</calculatedColumnFormula>
    </tableColumn>
    <tableColumn id="18" xr3:uid="{7E7FD80E-DBDA-49BF-A668-7B5FAE422E56}" name="Dry Matter" dataDxfId="11">
      <calculatedColumnFormula>1-J2</calculatedColumnFormula>
    </tableColumn>
    <tableColumn id="15" xr3:uid="{773E6129-E6A6-44B0-9F26-193B7F579F3F}" name="Ash (%)" dataDxfId="10">
      <calculatedColumnFormula>NA()</calculatedColumnFormula>
    </tableColumn>
    <tableColumn id="14" xr3:uid="{D77A430E-2E10-465F-B00E-56FED9B98AF0}" name="Consumption of Acid (Protein)" dataDxfId="9">
      <calculatedColumnFormula>NA()</calculatedColumnFormula>
    </tableColumn>
    <tableColumn id="11" xr3:uid="{022773E5-FF44-4E77-B2E8-6CC9D592EA84}" name="Crude protein content (100% dry matter)" dataDxfId="8"/>
    <tableColumn id="12" xr3:uid="{459D5CE9-62A4-4328-9158-72205328565F}" name="Date" dataDxfId="7"/>
    <tableColumn id="17" xr3:uid="{1AA78C2E-4E5F-43FB-A9C0-7B73D851F256}" name="Comments" dataDxfId="6"/>
  </tableColumns>
  <tableStyleInfo name="TableStyleLight1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E3EF8FE-6F98-488C-9BA9-7BD422C5102B}" name="Table1" displayName="Table1" ref="A1:C31" totalsRowShown="0" headerRowBorderDxfId="4" tableBorderDxfId="5" totalsRowBorderDxfId="3">
  <autoFilter ref="A1:C31" xr:uid="{6E3EF8FE-6F98-488C-9BA9-7BD422C5102B}"/>
  <tableColumns count="3">
    <tableColumn id="1" xr3:uid="{6E604BD8-A222-44B9-A325-E1D038DDC992}" name="Number" dataDxfId="2"/>
    <tableColumn id="2" xr3:uid="{40DE0A59-B1D4-4043-BE4F-2ADE0BFD7468}" name="Weight" dataDxfId="1"/>
    <tableColumn id="3" xr3:uid="{AA4E2523-A1A6-41C0-8AB1-212C6E7988D1}" name="Test" dataDxfId="0"/>
  </tableColumns>
  <tableStyleInfo name="TableStyleLight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536E23-C820-4069-9B2A-CBC9681D4CEF}">
  <dimension ref="A1:M28"/>
  <sheetViews>
    <sheetView showGridLines="0" tabSelected="1" topLeftCell="B1" workbookViewId="0">
      <selection activeCell="I26" sqref="I26"/>
    </sheetView>
  </sheetViews>
  <sheetFormatPr defaultRowHeight="15" customHeight="1"/>
  <cols>
    <col min="1" max="1" width="12.42578125" customWidth="1"/>
    <col min="2" max="2" width="15.85546875" customWidth="1"/>
    <col min="3" max="3" width="12.7109375" customWidth="1"/>
    <col min="4" max="4" width="11.28515625" customWidth="1"/>
    <col min="6" max="6" width="12.7109375" customWidth="1"/>
    <col min="7" max="7" width="16" customWidth="1"/>
    <col min="8" max="9" width="12.7109375" customWidth="1"/>
    <col min="11" max="11" width="12.42578125" customWidth="1"/>
    <col min="12" max="12" width="16" customWidth="1"/>
    <col min="13" max="13" width="12.42578125" customWidth="1"/>
  </cols>
  <sheetData>
    <row r="1" spans="1:13">
      <c r="A1" s="132" t="s">
        <v>0</v>
      </c>
      <c r="B1" s="133"/>
      <c r="C1" s="133"/>
      <c r="D1" s="134"/>
      <c r="F1" s="132" t="s">
        <v>1</v>
      </c>
      <c r="G1" s="133"/>
      <c r="H1" s="133"/>
      <c r="I1" s="134"/>
      <c r="K1" s="132" t="s">
        <v>1</v>
      </c>
      <c r="L1" s="133"/>
      <c r="M1" s="133"/>
    </row>
    <row r="2" spans="1:13">
      <c r="A2" s="102" t="s">
        <v>2</v>
      </c>
      <c r="B2" s="93" t="s">
        <v>3</v>
      </c>
      <c r="C2" s="93" t="s">
        <v>4</v>
      </c>
      <c r="D2" s="103" t="s">
        <v>5</v>
      </c>
      <c r="F2" s="102" t="s">
        <v>2</v>
      </c>
      <c r="G2" s="93" t="s">
        <v>3</v>
      </c>
      <c r="H2" s="93" t="s">
        <v>4</v>
      </c>
      <c r="I2" s="103" t="s">
        <v>5</v>
      </c>
      <c r="K2" s="129" t="s">
        <v>3</v>
      </c>
      <c r="L2" s="129" t="s">
        <v>6</v>
      </c>
      <c r="M2" s="129" t="s">
        <v>5</v>
      </c>
    </row>
    <row r="3" spans="1:13">
      <c r="A3" s="84" t="s">
        <v>7</v>
      </c>
      <c r="B3" s="85" t="s">
        <v>8</v>
      </c>
      <c r="C3" s="86" cm="1">
        <f t="array" ref="C3">AVERAGEIFS(
  _xlfn.SWITCH(A3,"Moisture",'1_RawMaterial'!K:K,"Ash",'1_RawMaterial'!L:L,"Protein",'1_RawMaterial'!N:N,"Gluten",'1_RawMaterial'!P:P),
  '1_RawMaterial'!D:D, A3,
  '1_RawMaterial'!C:C, B3
)</f>
        <v>0.12429887198801075</v>
      </c>
      <c r="D3" s="87" cm="1">
        <f t="array" ref="D3">_xlfn.STDEV.S(
  _xlfn._xlws.FILTER(
    _xlfn.SWITCH(A3,"Moisture",'1_RawMaterial'!K:K,"Ash",'1_RawMaterial'!L:L,"Protein",'1_RawMaterial'!N:N,"Gluten",'1_RawMaterial'!P:P),
    ('1_RawMaterial'!D:D=A3)*('1_RawMaterial'!C:C=B3)
  )
)</f>
        <v>2.63632908235281E-5</v>
      </c>
      <c r="F3" s="107" t="s">
        <v>7</v>
      </c>
      <c r="G3" s="60" t="s">
        <v>8</v>
      </c>
      <c r="H3" s="108" cm="1">
        <f t="array" ref="H3">AVERAGEIFS(
    _xlfn.SWITCH($F3,
        "Moisture", '4_BreadComposition'!$J:$J,
        "Ash",      '4_BreadComposition'!$L:$L,
        "Protein",  '4_BreadComposition'!$N:$N
    ),
    '4_BreadComposition'!$C:$C, $G3,
    '4_BreadComposition'!$D:$D, $F3
)</f>
        <v>9.3306693306693056E-2</v>
      </c>
      <c r="I3" s="119"/>
      <c r="K3" s="62" t="s">
        <v>9</v>
      </c>
      <c r="L3" s="65">
        <f>AVERAGEIF('5_Sensorial'!$B:$B, K3, '5_Sensorial'!$M:$M)</f>
        <v>82.5625</v>
      </c>
      <c r="M3" s="130" cm="1">
        <f t="array" ref="M3">_xlfn.STDEV.S(IF('5_Sensorial'!$B:$B=$K3,'5_Sensorial'!$M:$M)) /
 AVERAGEIF('5_Sensorial'!$B:$B,$K3,'5_Sensorial'!$M:$M) * 100</f>
        <v>9.0778970700412707</v>
      </c>
    </row>
    <row r="4" spans="1:13">
      <c r="A4" s="88" t="s">
        <v>7</v>
      </c>
      <c r="B4" s="1" t="s">
        <v>10</v>
      </c>
      <c r="C4" s="19" cm="1">
        <f t="array" ref="C4">AVERAGEIFS(
  _xlfn.SWITCH(A4,"Moisture",'1_RawMaterial'!K:K,"Ash",'1_RawMaterial'!L:L,"Protein",'1_RawMaterial'!N:N,"Gluten",'1_RawMaterial'!P:P),
  '1_RawMaterial'!D:D, A4,
  '1_RawMaterial'!C:C, B4
)</f>
        <v>4.9300201862768296E-2</v>
      </c>
      <c r="D4" s="89" cm="1">
        <f t="array" ref="D4">_xlfn.STDEV.S(
  _xlfn._xlws.FILTER(
    _xlfn.SWITCH(A4,"Moisture",'1_RawMaterial'!K:K,"Ash",'1_RawMaterial'!L:L,"Protein",'1_RawMaterial'!N:N,"Gluten",'1_RawMaterial'!P:P),
    ('1_RawMaterial'!D:D=A4)*('1_RawMaterial'!C:C=B4)
  )
)</f>
        <v>1.0943032635032247E-3</v>
      </c>
      <c r="F4" s="109" t="s">
        <v>7</v>
      </c>
      <c r="G4" s="105" t="s">
        <v>11</v>
      </c>
      <c r="H4" s="106" cm="1">
        <f t="array" ref="H4">AVERAGEIFS(
    _xlfn.SWITCH($F4,
        "Moisture", '4_BreadComposition'!$J:$J,
        "Ash",      '4_BreadComposition'!$L:$L,
        "Protein",  '4_BreadComposition'!$N:$N
    ),
    '4_BreadComposition'!$C:$C, $G4,
    '4_BreadComposition'!$D:$D, $F4
)</f>
        <v>9.0241322182079073E-2</v>
      </c>
      <c r="I4" s="120"/>
      <c r="K4" s="63">
        <v>0.1</v>
      </c>
      <c r="L4" s="65">
        <f>AVERAGEIF('5_Sensorial'!$B:$B, K4, '5_Sensorial'!$M:$M)</f>
        <v>76.75</v>
      </c>
      <c r="M4" s="130" cm="1">
        <f t="array" ref="M4">_xlfn.STDEV.S(IF('5_Sensorial'!$B:$B=$K4,'5_Sensorial'!$M:$M)) /
 AVERAGEIF('5_Sensorial'!$B:$B,$K4,'5_Sensorial'!$M:$M) * 100</f>
        <v>7.8716911880094926</v>
      </c>
    </row>
    <row r="5" spans="1:13">
      <c r="A5" s="88" t="s">
        <v>7</v>
      </c>
      <c r="B5" s="1" t="s">
        <v>12</v>
      </c>
      <c r="C5" s="19" cm="1">
        <f t="array" ref="C5">AVERAGEIFS(
  _xlfn.SWITCH(A5,"Moisture",'1_RawMaterial'!K:K,"Ash",'1_RawMaterial'!L:L,"Protein",'1_RawMaterial'!N:N,"Gluten",'1_RawMaterial'!P:P),
  '1_RawMaterial'!D:D, A5,
  '1_RawMaterial'!C:C, B5
)</f>
        <v>0.1161183881611836</v>
      </c>
      <c r="D5" s="89" cm="1">
        <f t="array" ref="D5">_xlfn.STDEV.S(
  _xlfn._xlws.FILTER(
    _xlfn.SWITCH(A5,"Moisture",'1_RawMaterial'!K:K,"Ash",'1_RawMaterial'!L:L,"Protein",'1_RawMaterial'!N:N,"Gluten",'1_RawMaterial'!P:P),
    ('1_RawMaterial'!D:D=A5)*('1_RawMaterial'!C:C=B5)
  )
)</f>
        <v>1.0605541163682232E-3</v>
      </c>
      <c r="F5" s="109" t="s">
        <v>7</v>
      </c>
      <c r="G5" s="104" t="s">
        <v>13</v>
      </c>
      <c r="H5" s="106" cm="1">
        <f t="array" ref="H5">AVERAGEIFS(
    _xlfn.SWITCH($F5,
        "Moisture", '4_BreadComposition'!$J:$J,
        "Ash",      '4_BreadComposition'!$L:$L,
        "Protein",  '4_BreadComposition'!$N:$N
    ),
    '4_BreadComposition'!$C:$C, $G5,
    '4_BreadComposition'!$D:$D, $F5
)</f>
        <v>8.8480201281974702E-2</v>
      </c>
      <c r="I5" s="120"/>
      <c r="K5" s="63">
        <v>0.2</v>
      </c>
      <c r="L5" s="65">
        <f>AVERAGEIF('5_Sensorial'!$B:$B, K5, '5_Sensorial'!$M:$M)</f>
        <v>54.625</v>
      </c>
      <c r="M5" s="130" cm="1">
        <f t="array" ref="M5">_xlfn.STDEV.S(IF('5_Sensorial'!$B:$B=$K5,'5_Sensorial'!$M:$M)) /
 AVERAGEIF('5_Sensorial'!$B:$B,$K5,'5_Sensorial'!$M:$M) * 100</f>
        <v>33.373318338073311</v>
      </c>
    </row>
    <row r="6" spans="1:13">
      <c r="A6" s="96" t="s">
        <v>7</v>
      </c>
      <c r="B6" s="8" t="s">
        <v>14</v>
      </c>
      <c r="C6" s="20" cm="1">
        <f t="array" ref="C6">AVERAGEIFS(
  _xlfn.SWITCH(A6,"Moisture",'1_RawMaterial'!K:K,"Ash",'1_RawMaterial'!L:L,"Protein",'1_RawMaterial'!N:N,"Gluten",'1_RawMaterial'!P:P),
  '1_RawMaterial'!D:D, A6,
  '1_RawMaterial'!C:C, B6
)</f>
        <v>0.106799472105579</v>
      </c>
      <c r="D6" s="97" cm="1">
        <f t="array" ref="D6">_xlfn.STDEV.S(
  _xlfn._xlws.FILTER(
    _xlfn.SWITCH(A6,"Moisture",'1_RawMaterial'!K:K,"Ash",'1_RawMaterial'!L:L,"Protein",'1_RawMaterial'!N:N,"Gluten",'1_RawMaterial'!P:P),
    ('1_RawMaterial'!D:D=A6)*('1_RawMaterial'!C:C=B6)
  )
)</f>
        <v>2.1503511702564938E-3</v>
      </c>
      <c r="F6" s="109" t="s">
        <v>7</v>
      </c>
      <c r="G6" s="105" t="s">
        <v>15</v>
      </c>
      <c r="H6" s="106" cm="1">
        <f t="array" ref="H6">AVERAGEIFS(
    _xlfn.SWITCH($F6,
        "Moisture", '4_BreadComposition'!$J:$J,
        "Ash",      '4_BreadComposition'!$L:$L,
        "Protein",  '4_BreadComposition'!$N:$N
    ),
    '4_BreadComposition'!$C:$C, $G6,
    '4_BreadComposition'!$D:$D, $F6
)</f>
        <v>8.8792982876780377E-2</v>
      </c>
      <c r="I6" s="120"/>
      <c r="K6" s="62" t="s">
        <v>16</v>
      </c>
      <c r="L6" s="65">
        <f>AVERAGEIF('5_Sensorial'!$B:$B, K6, '5_Sensorial'!$M:$M)</f>
        <v>65.25</v>
      </c>
      <c r="M6" s="130" cm="1">
        <f t="array" ref="M6">_xlfn.STDEV.S(IF('5_Sensorial'!$B:$B=$K6,'5_Sensorial'!$M:$M)) /
 AVERAGEIF('5_Sensorial'!$B:$B,$K6,'5_Sensorial'!$M:$M) * 100</f>
        <v>16.68820054748506</v>
      </c>
    </row>
    <row r="7" spans="1:13">
      <c r="A7" s="84" t="s">
        <v>17</v>
      </c>
      <c r="B7" s="85" t="s">
        <v>8</v>
      </c>
      <c r="C7" s="86" cm="1">
        <f t="array" ref="C7">AVERAGEIFS(
  _xlfn.SWITCH(A7,"Moisture",'1_RawMaterial'!K:K,"Ash",'1_RawMaterial'!L:L,"Protein",'1_RawMaterial'!N:N,"Gluten",'1_RawMaterial'!P:P),
  '1_RawMaterial'!D:D, A7,
  '1_RawMaterial'!C:C, B7
)</f>
        <v>6.6165097122162422E-3</v>
      </c>
      <c r="D7" s="94" cm="1">
        <f t="array" ref="D7">_xlfn.STDEV.S(
  _xlfn._xlws.FILTER(
    _xlfn.SWITCH(A7,"Moisture",'1_RawMaterial'!K:K,"Ash",'1_RawMaterial'!L:L,"Protein",'1_RawMaterial'!N:N,"Gluten",'1_RawMaterial'!P:P),
    ('1_RawMaterial'!D:D=A7)*('1_RawMaterial'!C:C=B7)
  )
)</f>
        <v>4.4969073661511356E-4</v>
      </c>
      <c r="F7" s="111" t="s">
        <v>7</v>
      </c>
      <c r="G7" s="112" t="s">
        <v>18</v>
      </c>
      <c r="H7" s="113" cm="1">
        <f t="array" ref="H7">AVERAGEIFS(
    _xlfn.SWITCH($F7,
        "Moisture", '4_BreadComposition'!$J:$J,
        "Ash",      '4_BreadComposition'!$L:$L,
        "Protein",  '4_BreadComposition'!$N:$N
    ),
    '4_BreadComposition'!$C:$C, $G7,
    '4_BreadComposition'!$D:$D, $F7
)</f>
        <v>8.7746262400447556E-2</v>
      </c>
      <c r="I7" s="121"/>
      <c r="K7" s="62" t="s">
        <v>19</v>
      </c>
      <c r="L7" s="65">
        <f>AVERAGEIF('5_Sensorial'!$B:$B, K7, '5_Sensorial'!$M:$M)</f>
        <v>51.5625</v>
      </c>
      <c r="M7" s="130" cm="1">
        <f t="array" ref="M7">_xlfn.STDEV.S(IF('5_Sensorial'!$B:$B=$K7,'5_Sensorial'!$M:$M)) /
 AVERAGEIF('5_Sensorial'!$B:$B,$K7,'5_Sensorial'!$M:$M) * 100</f>
        <v>39.969659226275226</v>
      </c>
    </row>
    <row r="8" spans="1:13">
      <c r="A8" s="88" t="s">
        <v>17</v>
      </c>
      <c r="B8" s="1" t="s">
        <v>10</v>
      </c>
      <c r="C8" s="19" cm="1">
        <f t="array" ref="C8">AVERAGEIFS(
  _xlfn.SWITCH(A8,"Moisture",'1_RawMaterial'!K:K,"Ash",'1_RawMaterial'!L:L,"Protein",'1_RawMaterial'!N:N,"Gluten",'1_RawMaterial'!P:P),
  '1_RawMaterial'!D:D, A8,
  '1_RawMaterial'!C:C, B8
)</f>
        <v>4.0405881257140085E-2</v>
      </c>
      <c r="D8" s="95" cm="1">
        <f t="array" ref="D8">_xlfn.STDEV.S(
  _xlfn._xlws.FILTER(
    _xlfn.SWITCH(A8,"Moisture",'1_RawMaterial'!K:K,"Ash",'1_RawMaterial'!L:L,"Protein",'1_RawMaterial'!N:N,"Gluten",'1_RawMaterial'!P:P),
    ('1_RawMaterial'!D:D=A8)*('1_RawMaterial'!C:C=B8)
  )
)</f>
        <v>4.4581066039865535E-4</v>
      </c>
      <c r="F8" s="84" t="s">
        <v>17</v>
      </c>
      <c r="G8" s="60" t="s">
        <v>8</v>
      </c>
      <c r="H8" s="86" cm="1">
        <f t="array" ref="H8">AVERAGEIFS(
    _xlfn.SWITCH($F8,
        "Moisture", '4_BreadComposition'!$J:$J,
        "Ash",      '4_BreadComposition'!$L:$L,
        "Protein",  '4_BreadComposition'!$N:$N
    ),
    '4_BreadComposition'!$C:$C, $G8,
    '4_BreadComposition'!$D:$D, $F8
)</f>
        <v>5.8225256567984596E-3</v>
      </c>
      <c r="I8" s="87" cm="1">
        <f t="array" ref="I8">_xlfn.STDEV.S(
  _xlfn._xlws.FILTER(
    _xlfn.SWITCH($F8,
        "Moisture", '4_BreadComposition'!$J:$J,
        "Ash",      '4_BreadComposition'!$L:$L,
        "Protein",  '4_BreadComposition'!$N:$N
    ),
    ('4_BreadComposition'!$C:$C = $G8) *
    ('4_BreadComposition'!$D:$D = $F8)
  )
)</f>
        <v>6.1100931855936609E-4</v>
      </c>
    </row>
    <row r="9" spans="1:13">
      <c r="A9" s="88" t="s">
        <v>17</v>
      </c>
      <c r="B9" s="1" t="s">
        <v>12</v>
      </c>
      <c r="C9" s="19" cm="1">
        <f t="array" ref="C9">AVERAGEIFS(
  _xlfn.SWITCH(A9,"Moisture",'1_RawMaterial'!K:K,"Ash",'1_RawMaterial'!L:L,"Protein",'1_RawMaterial'!N:N,"Gluten",'1_RawMaterial'!P:P),
  '1_RawMaterial'!D:D, A9,
  '1_RawMaterial'!C:C, B9
)</f>
        <v>1.011447339104754E-2</v>
      </c>
      <c r="D9" s="95" cm="1">
        <f t="array" ref="D9">_xlfn.STDEV.S(
  _xlfn._xlws.FILTER(
    _xlfn.SWITCH(A9,"Moisture",'1_RawMaterial'!K:K,"Ash",'1_RawMaterial'!L:L,"Protein",'1_RawMaterial'!N:N,"Gluten",'1_RawMaterial'!P:P),
    ('1_RawMaterial'!D:D=A9)*('1_RawMaterial'!C:C=B9)
  )
)</f>
        <v>2.189667879072032E-5</v>
      </c>
      <c r="F9" s="88" t="s">
        <v>17</v>
      </c>
      <c r="G9" s="105" t="s">
        <v>11</v>
      </c>
      <c r="H9" s="19" cm="1">
        <f t="array" ref="H9">AVERAGEIFS(
    _xlfn.SWITCH($F9,
        "Moisture", '4_BreadComposition'!$J:$J,
        "Ash",      '4_BreadComposition'!$L:$L,
        "Protein",  '4_BreadComposition'!$N:$N
    ),
    '4_BreadComposition'!$C:$C, $G9,
    '4_BreadComposition'!$D:$D, $F9
)</f>
        <v>8.8259763601712671E-3</v>
      </c>
      <c r="I9" s="89" cm="1">
        <f t="array" ref="I9">_xlfn.STDEV.S(
  _xlfn._xlws.FILTER(
    _xlfn.SWITCH($F9,
        "Moisture", '4_BreadComposition'!$J:$J,
        "Ash",      '4_BreadComposition'!$L:$L,
        "Protein",  '4_BreadComposition'!$N:$N
    ),
    ('4_BreadComposition'!$C:$C = $G9) *
    ('4_BreadComposition'!$D:$D = $F9)
  )
)</f>
        <v>3.0288570566119546E-4</v>
      </c>
    </row>
    <row r="10" spans="1:13">
      <c r="A10" s="96" t="s">
        <v>17</v>
      </c>
      <c r="B10" s="8" t="s">
        <v>14</v>
      </c>
      <c r="C10" s="20" cm="1">
        <f t="array" ref="C10">AVERAGEIFS(
  _xlfn.SWITCH(A10,"Moisture",'1_RawMaterial'!K:K,"Ash",'1_RawMaterial'!L:L,"Protein",'1_RawMaterial'!N:N,"Gluten",'1_RawMaterial'!P:P),
  '1_RawMaterial'!D:D, A10,
  '1_RawMaterial'!C:C, B10
)</f>
        <v>1.3383998459329895E-2</v>
      </c>
      <c r="D10" s="98" cm="1">
        <f t="array" ref="D10">_xlfn.STDEV.S(
  _xlfn._xlws.FILTER(
    _xlfn.SWITCH(A10,"Moisture",'1_RawMaterial'!K:K,"Ash",'1_RawMaterial'!L:L,"Protein",'1_RawMaterial'!N:N,"Gluten",'1_RawMaterial'!P:P),
    ('1_RawMaterial'!D:D=A10)*('1_RawMaterial'!C:C=B10)
  )
)</f>
        <v>6.9136815614587624E-5</v>
      </c>
      <c r="F10" s="88" t="s">
        <v>17</v>
      </c>
      <c r="G10" s="104" t="s">
        <v>13</v>
      </c>
      <c r="H10" s="19" cm="1">
        <f t="array" ref="H10">AVERAGEIFS(
    _xlfn.SWITCH($F10,
        "Moisture", '4_BreadComposition'!$J:$J,
        "Ash",      '4_BreadComposition'!$L:$L,
        "Protein",  '4_BreadComposition'!$N:$N
    ),
    '4_BreadComposition'!$C:$C, $G10,
    '4_BreadComposition'!$D:$D, $F10
)</f>
        <v>1.0562903814978708E-2</v>
      </c>
      <c r="I10" s="89" cm="1">
        <f t="array" ref="I10">_xlfn.STDEV.S(
  _xlfn._xlws.FILTER(
    _xlfn.SWITCH($F10,
        "Moisture", '4_BreadComposition'!$J:$J,
        "Ash",      '4_BreadComposition'!$L:$L,
        "Protein",  '4_BreadComposition'!$N:$N
    ),
    ('4_BreadComposition'!$C:$C = $G10) *
    ('4_BreadComposition'!$D:$D = $F10)
  )
)</f>
        <v>5.2667425605047529E-4</v>
      </c>
    </row>
    <row r="11" spans="1:13">
      <c r="A11" s="84" t="s">
        <v>20</v>
      </c>
      <c r="B11" s="85" t="s">
        <v>8</v>
      </c>
      <c r="C11" s="86" cm="1">
        <f t="array" ref="C11">AVERAGEIFS(
  _xlfn.SWITCH(A11,"Moisture",'1_RawMaterial'!K:K,"Ash",'1_RawMaterial'!L:L,"Protein",'1_RawMaterial'!N:N,"Gluten",'1_RawMaterial'!P:P),
  '1_RawMaterial'!D:D, A11,
  '1_RawMaterial'!C:C, B11
)</f>
        <v>12.9</v>
      </c>
      <c r="D11" s="94" cm="1">
        <f t="array" ref="D11">_xlfn.STDEV.S(
  _xlfn._xlws.FILTER(
    _xlfn.SWITCH(A11,"Moisture",'1_RawMaterial'!K:K,"Ash",'1_RawMaterial'!L:L,"Protein",'1_RawMaterial'!N:N,"Gluten",'1_RawMaterial'!P:P),
    ('1_RawMaterial'!D:D=A11)*('1_RawMaterial'!C:C=B11)
  )
)</f>
        <v>0.141421356237309</v>
      </c>
      <c r="F11" s="88" t="s">
        <v>17</v>
      </c>
      <c r="G11" s="105" t="s">
        <v>15</v>
      </c>
      <c r="H11" s="19" cm="1">
        <f t="array" ref="H11">AVERAGEIFS(
    _xlfn.SWITCH($F11,
        "Moisture", '4_BreadComposition'!$J:$J,
        "Ash",      '4_BreadComposition'!$L:$L,
        "Protein",  '4_BreadComposition'!$N:$N
    ),
    '4_BreadComposition'!$C:$C, $G11,
    '4_BreadComposition'!$D:$D, $F11
)</f>
        <v>9.8364826395132138E-3</v>
      </c>
      <c r="I11" s="89" cm="1">
        <f t="array" ref="I11">_xlfn.STDEV.S(
  _xlfn._xlws.FILTER(
    _xlfn.SWITCH($F11,
        "Moisture", '4_BreadComposition'!$J:$J,
        "Ash",      '4_BreadComposition'!$L:$L,
        "Protein",  '4_BreadComposition'!$N:$N
    ),
    ('4_BreadComposition'!$C:$C = $G11) *
    ('4_BreadComposition'!$D:$D = $F11)
  )
)</f>
        <v>7.4735040216111694E-4</v>
      </c>
    </row>
    <row r="12" spans="1:13">
      <c r="A12" s="88" t="s">
        <v>20</v>
      </c>
      <c r="B12" s="1" t="s">
        <v>10</v>
      </c>
      <c r="C12" s="19" cm="1">
        <f t="array" ref="C12">AVERAGEIFS(
  _xlfn.SWITCH(A12,"Moisture",'1_RawMaterial'!K:K,"Ash",'1_RawMaterial'!L:L,"Protein",'1_RawMaterial'!N:N,"Gluten",'1_RawMaterial'!P:P),
  '1_RawMaterial'!D:D, A12,
  '1_RawMaterial'!C:C, B12
)</f>
        <v>23.65</v>
      </c>
      <c r="D12" s="95" cm="1">
        <f t="array" ref="D12">_xlfn.STDEV.S(
  _xlfn._xlws.FILTER(
    _xlfn.SWITCH(A12,"Moisture",'1_RawMaterial'!K:K,"Ash",'1_RawMaterial'!L:L,"Protein",'1_RawMaterial'!N:N,"Gluten",'1_RawMaterial'!P:P),
    ('1_RawMaterial'!D:D=A12)*('1_RawMaterial'!C:C=B12)
  )
)</f>
        <v>0.21213203435596475</v>
      </c>
      <c r="F12" s="96" t="s">
        <v>17</v>
      </c>
      <c r="G12" s="112" t="s">
        <v>18</v>
      </c>
      <c r="H12" s="20" cm="1">
        <f t="array" ref="H12">AVERAGEIFS(
    _xlfn.SWITCH($F12,
        "Moisture", '4_BreadComposition'!$J:$J,
        "Ash",      '4_BreadComposition'!$L:$L,
        "Protein",  '4_BreadComposition'!$N:$N
    ),
    '4_BreadComposition'!$C:$C, $G12,
    '4_BreadComposition'!$D:$D, $F12
)</f>
        <v>1.4668876620907143E-2</v>
      </c>
      <c r="I12" s="97" cm="1">
        <f t="array" ref="I12">_xlfn.STDEV.S(
  _xlfn._xlws.FILTER(
    _xlfn.SWITCH($F12,
        "Moisture", '4_BreadComposition'!$J:$J,
        "Ash",      '4_BreadComposition'!$L:$L,
        "Protein",  '4_BreadComposition'!$N:$N
    ),
    ('4_BreadComposition'!$C:$C = $G12) *
    ('4_BreadComposition'!$D:$D = $F12)
  )
)</f>
        <v>1.2554127670246855E-3</v>
      </c>
    </row>
    <row r="13" spans="1:13">
      <c r="A13" s="88" t="s">
        <v>20</v>
      </c>
      <c r="B13" s="1" t="s">
        <v>12</v>
      </c>
      <c r="C13" s="19" cm="1">
        <f t="array" ref="C13">AVERAGEIFS(
  _xlfn.SWITCH(A13,"Moisture",'1_RawMaterial'!K:K,"Ash",'1_RawMaterial'!L:L,"Protein",'1_RawMaterial'!N:N,"Gluten",'1_RawMaterial'!P:P),
  '1_RawMaterial'!D:D, A13,
  '1_RawMaterial'!C:C, B13
)</f>
        <v>14.65</v>
      </c>
      <c r="D13" s="95" cm="1">
        <f t="array" ref="D13">_xlfn.STDEV.S(
  _xlfn._xlws.FILTER(
    _xlfn.SWITCH(A13,"Moisture",'1_RawMaterial'!K:K,"Ash",'1_RawMaterial'!L:L,"Protein",'1_RawMaterial'!N:N,"Gluten",'1_RawMaterial'!P:P),
    ('1_RawMaterial'!D:D=A13)*('1_RawMaterial'!C:C=B13)
  )
)</f>
        <v>0.49497474683058273</v>
      </c>
      <c r="F13" s="84" t="s">
        <v>20</v>
      </c>
      <c r="G13" s="60" t="s">
        <v>8</v>
      </c>
      <c r="H13" s="86" cm="1">
        <f t="array" ref="H13">AVERAGEIFS(
    _xlfn.SWITCH($F13,
        "Moisture", '4_BreadComposition'!$J:$J,
        "Ash",      '4_BreadComposition'!$L:$L,
        "Protein",  '4_BreadComposition'!$N:$N
    ),
    '4_BreadComposition'!$C:$C, $G13,
    '4_BreadComposition'!$D:$D, $F13
)</f>
        <v>0.12079999999999999</v>
      </c>
      <c r="I13" s="87" cm="1">
        <f t="array" ref="I13">_xlfn.STDEV.S(
  _xlfn._xlws.FILTER(
    _xlfn.SWITCH($F13,
        "Moisture", '4_BreadComposition'!$J:$J,
        "Ash",      '4_BreadComposition'!$L:$L,
        "Protein",  '4_BreadComposition'!$N:$N
    ),
    ('4_BreadComposition'!$C:$C = $G13) *
    ('4_BreadComposition'!$D:$D = $F13)
  )
)</f>
        <v>5.6568542494924443E-4</v>
      </c>
    </row>
    <row r="14" spans="1:13">
      <c r="A14" s="96" t="s">
        <v>20</v>
      </c>
      <c r="B14" s="8" t="s">
        <v>14</v>
      </c>
      <c r="C14" s="20" cm="1">
        <f t="array" ref="C14">AVERAGEIFS(
  _xlfn.SWITCH(A14,"Moisture",'1_RawMaterial'!K:K,"Ash",'1_RawMaterial'!L:L,"Protein",'1_RawMaterial'!N:N,"Gluten",'1_RawMaterial'!P:P),
  '1_RawMaterial'!D:D, A14,
  '1_RawMaterial'!C:C, B14
)</f>
        <v>14.9</v>
      </c>
      <c r="D14" s="98" cm="1">
        <f t="array" ref="D14">_xlfn.STDEV.S(
  _xlfn._xlws.FILTER(
    _xlfn.SWITCH(A14,"Moisture",'1_RawMaterial'!K:K,"Ash",'1_RawMaterial'!L:L,"Protein",'1_RawMaterial'!N:N,"Gluten",'1_RawMaterial'!P:P),
    ('1_RawMaterial'!D:D=A14)*('1_RawMaterial'!C:C=B14)
  )
)</f>
        <v>0.141421356237309</v>
      </c>
      <c r="F14" s="88" t="s">
        <v>20</v>
      </c>
      <c r="G14" s="105" t="s">
        <v>11</v>
      </c>
      <c r="H14" s="19" cm="1">
        <f t="array" ref="H14">AVERAGEIFS(
    _xlfn.SWITCH($F14,
        "Moisture", '4_BreadComposition'!$J:$J,
        "Ash",      '4_BreadComposition'!$L:$L,
        "Protein",  '4_BreadComposition'!$N:$N
    ),
    '4_BreadComposition'!$C:$C, $G14,
    '4_BreadComposition'!$D:$D, $F14
)</f>
        <v>0.13395000000000001</v>
      </c>
      <c r="I14" s="89" cm="1">
        <f t="array" ref="I14">_xlfn.STDEV.S(
  _xlfn._xlws.FILTER(
    _xlfn.SWITCH($F14,
        "Moisture", '4_BreadComposition'!$J:$J,
        "Ash",      '4_BreadComposition'!$L:$L,
        "Protein",  '4_BreadComposition'!$N:$N
    ),
    ('4_BreadComposition'!$C:$C = $G14) *
    ('4_BreadComposition'!$D:$D = $F14)
  )
)</f>
        <v>5.4447222151364251E-3</v>
      </c>
    </row>
    <row r="15" spans="1:13">
      <c r="A15" s="84" t="s">
        <v>21</v>
      </c>
      <c r="B15" s="85" t="s">
        <v>8</v>
      </c>
      <c r="C15" s="86" cm="1">
        <f t="array" ref="C15">AVERAGEIFS(
  _xlfn.SWITCH(A15,"Moisture",'1_RawMaterial'!K:K,"Ash",'1_RawMaterial'!L:L,"Protein",'1_RawMaterial'!N:N,"Gluten",'1_RawMaterial'!P:P),
  '1_RawMaterial'!D:D, A15,
  '1_RawMaterial'!C:C, B15
)</f>
        <v>0.29036091534246478</v>
      </c>
      <c r="D15" s="99" cm="1">
        <f t="array" ref="D15">_xlfn.STDEV.S(
  _xlfn._xlws.FILTER(
    _xlfn.SWITCH(A15,"Moisture",'1_RawMaterial'!K:K,"Ash",'1_RawMaterial'!L:L,"Protein",'1_RawMaterial'!N:N,"Gluten",'1_RawMaterial'!P:P),
    ('1_RawMaterial'!D:D=A15)*('1_RawMaterial'!C:C=B15)
  )
)</f>
        <v>0</v>
      </c>
      <c r="F15" s="88" t="s">
        <v>20</v>
      </c>
      <c r="G15" s="104" t="s">
        <v>22</v>
      </c>
      <c r="H15" s="19" cm="1">
        <f t="array" ref="H15">AVERAGEIFS(
    _xlfn.SWITCH($F15,
        "Moisture", '4_BreadComposition'!$J:$J,
        "Ash",      '4_BreadComposition'!$L:$L,
        "Protein",  '4_BreadComposition'!$N:$N
    ),
    '4_BreadComposition'!$C:$C, $G15,
    '4_BreadComposition'!$D:$D, $F15
)</f>
        <v>0.13730000000000001</v>
      </c>
      <c r="I15" s="89" cm="1">
        <f t="array" ref="I15">_xlfn.STDEV.S(
  _xlfn._xlws.FILTER(
    _xlfn.SWITCH($F15,
        "Moisture", '4_BreadComposition'!$J:$J,
        "Ash",      '4_BreadComposition'!$L:$L,
        "Protein",  '4_BreadComposition'!$N:$N
    ),
    ('4_BreadComposition'!$C:$C = $G15) *
    ('4_BreadComposition'!$D:$D = $F15)
  )
)</f>
        <v>1.6970562748477233E-3</v>
      </c>
    </row>
    <row r="16" spans="1:13">
      <c r="A16" s="88" t="s">
        <v>21</v>
      </c>
      <c r="B16" s="1" t="s">
        <v>12</v>
      </c>
      <c r="C16" s="19" cm="1">
        <f t="array" ref="C16">AVERAGEIFS(
  _xlfn.SWITCH(A16,"Moisture",'1_RawMaterial'!K:K,"Ash",'1_RawMaterial'!L:L,"Protein",'1_RawMaterial'!N:N,"Gluten",'1_RawMaterial'!P:P),
  '1_RawMaterial'!D:D, A16,
  '1_RawMaterial'!C:C, B16
)</f>
        <v>0.24027900811130853</v>
      </c>
      <c r="D16" s="100" cm="1">
        <f t="array" ref="D16">_xlfn.STDEV.S(
  _xlfn._xlws.FILTER(
    _xlfn.SWITCH(A16,"Moisture",'1_RawMaterial'!K:K,"Ash",'1_RawMaterial'!L:L,"Protein",'1_RawMaterial'!N:N,"Gluten",'1_RawMaterial'!P:P),
    ('1_RawMaterial'!D:D=A16)*('1_RawMaterial'!C:C=B16)
  )
)</f>
        <v>0</v>
      </c>
      <c r="F16" s="88" t="s">
        <v>20</v>
      </c>
      <c r="G16" s="105" t="s">
        <v>15</v>
      </c>
      <c r="H16" s="19" cm="1">
        <f t="array" ref="H16">AVERAGEIFS(
    _xlfn.SWITCH($F16,
        "Moisture", '4_BreadComposition'!$J:$J,
        "Ash",      '4_BreadComposition'!$L:$L,
        "Protein",  '4_BreadComposition'!$N:$N
    ),
    '4_BreadComposition'!$C:$C, $G16,
    '4_BreadComposition'!$D:$D, $F16
)</f>
        <v>0.1268</v>
      </c>
      <c r="I16" s="89" cm="1">
        <f t="array" ref="I16">_xlfn.STDEV.S(
  _xlfn._xlws.FILTER(
    _xlfn.SWITCH($F16,
        "Moisture", '4_BreadComposition'!$J:$J,
        "Ash",      '4_BreadComposition'!$L:$L,
        "Protein",  '4_BreadComposition'!$N:$N
    ),
    ('4_BreadComposition'!$C:$C = $G16) *
    ('4_BreadComposition'!$D:$D = $F16)
  )
)</f>
        <v>2.8284271247462709E-4</v>
      </c>
    </row>
    <row r="17" spans="1:9">
      <c r="A17" s="90" t="s">
        <v>21</v>
      </c>
      <c r="B17" s="91" t="s">
        <v>14</v>
      </c>
      <c r="C17" s="92" cm="1">
        <f t="array" ref="C17">AVERAGEIFS(
  _xlfn.SWITCH(A17,"Moisture",'1_RawMaterial'!K:K,"Ash",'1_RawMaterial'!L:L,"Protein",'1_RawMaterial'!N:N,"Gluten",'1_RawMaterial'!P:P),
  '1_RawMaterial'!D:D, A17,
  '1_RawMaterial'!C:C, B17
)</f>
        <v>0.22524055572448143</v>
      </c>
      <c r="D17" s="101" cm="1">
        <f t="array" ref="D17">_xlfn.STDEV.S(
  _xlfn._xlws.FILTER(
    _xlfn.SWITCH(A17,"Moisture",'1_RawMaterial'!K:K,"Ash",'1_RawMaterial'!L:L,"Protein",'1_RawMaterial'!N:N,"Gluten",'1_RawMaterial'!P:P),
    ('1_RawMaterial'!D:D=A17)*('1_RawMaterial'!C:C=B17)
  )
)</f>
        <v>7.0786277489336569E-3</v>
      </c>
      <c r="F17" s="96" t="s">
        <v>20</v>
      </c>
      <c r="G17" s="112" t="s">
        <v>18</v>
      </c>
      <c r="H17" s="20" cm="1">
        <f t="array" ref="H17">AVERAGEIFS(
    _xlfn.SWITCH($F17,
        "Moisture", '4_BreadComposition'!$J:$J,
        "Ash",      '4_BreadComposition'!$L:$L,
        "Protein",  '4_BreadComposition'!$N:$N
    ),
    '4_BreadComposition'!$C:$C, $G17,
    '4_BreadComposition'!$D:$D, $F17
)</f>
        <v>0.14094999999999999</v>
      </c>
      <c r="I17" s="97" cm="1">
        <f t="array" ref="I17">_xlfn.STDEV.S(
  _xlfn._xlws.FILTER(
    _xlfn.SWITCH($F17,
        "Moisture", '4_BreadComposition'!$J:$J,
        "Ash",      '4_BreadComposition'!$L:$L,
        "Protein",  '4_BreadComposition'!$N:$N
    ),
    ('4_BreadComposition'!$C:$C = $G17) *
    ('4_BreadComposition'!$D:$D = $F17)
  )
)</f>
        <v>1.4849242404917434E-3</v>
      </c>
    </row>
    <row r="18" spans="1:9">
      <c r="F18" s="114" t="s">
        <v>23</v>
      </c>
      <c r="G18" s="60" t="s">
        <v>8</v>
      </c>
      <c r="H18" s="127">
        <f>'3_BreadFormulation&amp;measurements'!J3</f>
        <v>925</v>
      </c>
      <c r="I18" s="115"/>
    </row>
    <row r="19" spans="1:9">
      <c r="F19" s="96" t="s">
        <v>23</v>
      </c>
      <c r="G19" s="105" t="s">
        <v>11</v>
      </c>
      <c r="H19" s="122">
        <f>'3_BreadFormulation&amp;measurements'!J4</f>
        <v>775</v>
      </c>
      <c r="I19" s="116"/>
    </row>
    <row r="20" spans="1:9">
      <c r="F20" s="96" t="s">
        <v>23</v>
      </c>
      <c r="G20" s="104" t="s">
        <v>22</v>
      </c>
      <c r="H20" s="122">
        <f>'3_BreadFormulation&amp;measurements'!J5</f>
        <v>680</v>
      </c>
      <c r="I20" s="116"/>
    </row>
    <row r="21" spans="1:9">
      <c r="F21" s="96" t="s">
        <v>23</v>
      </c>
      <c r="G21" s="105" t="s">
        <v>15</v>
      </c>
      <c r="H21" s="122">
        <f>'3_BreadFormulation&amp;measurements'!J6</f>
        <v>825</v>
      </c>
      <c r="I21" s="116"/>
    </row>
    <row r="22" spans="1:9">
      <c r="F22" s="90" t="s">
        <v>23</v>
      </c>
      <c r="G22" s="110" t="s">
        <v>18</v>
      </c>
      <c r="H22" s="128">
        <f>'3_BreadFormulation&amp;measurements'!J7</f>
        <v>725</v>
      </c>
      <c r="I22" s="117"/>
    </row>
    <row r="23" spans="1:9">
      <c r="F23" s="102" t="s">
        <v>24</v>
      </c>
      <c r="G23" s="61" t="s">
        <v>8</v>
      </c>
      <c r="H23" s="123">
        <f>'3_BreadFormulation&amp;measurements'!K3</f>
        <v>0.95454545454545459</v>
      </c>
      <c r="I23" s="118"/>
    </row>
    <row r="24" spans="1:9">
      <c r="F24" s="96" t="s">
        <v>24</v>
      </c>
      <c r="G24" s="105" t="s">
        <v>11</v>
      </c>
      <c r="H24" s="123">
        <f>'3_BreadFormulation&amp;measurements'!K4</f>
        <v>0.96078431372549034</v>
      </c>
      <c r="I24" s="116"/>
    </row>
    <row r="25" spans="1:9">
      <c r="F25" s="96" t="s">
        <v>24</v>
      </c>
      <c r="G25" s="104" t="s">
        <v>22</v>
      </c>
      <c r="H25" s="123">
        <f>'3_BreadFormulation&amp;measurements'!K5</f>
        <v>0.87378640776699024</v>
      </c>
      <c r="I25" s="116"/>
    </row>
    <row r="26" spans="1:9">
      <c r="F26" s="96" t="s">
        <v>24</v>
      </c>
      <c r="G26" s="105" t="s">
        <v>15</v>
      </c>
      <c r="H26" s="123">
        <f>'3_BreadFormulation&amp;measurements'!K6</f>
        <v>0.96153846153846145</v>
      </c>
      <c r="I26" s="116"/>
    </row>
    <row r="27" spans="1:9">
      <c r="F27" s="90" t="s">
        <v>24</v>
      </c>
      <c r="G27" s="110" t="s">
        <v>18</v>
      </c>
      <c r="H27" s="126">
        <f>'3_BreadFormulation&amp;measurements'!K7</f>
        <v>0.8910891089108911</v>
      </c>
      <c r="I27" s="117"/>
    </row>
    <row r="28" spans="1:9"/>
  </sheetData>
  <mergeCells count="3">
    <mergeCell ref="A1:D1"/>
    <mergeCell ref="F1:I1"/>
    <mergeCell ref="K1:M1"/>
  </mergeCells>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31"/>
  <sheetViews>
    <sheetView showGridLines="0" zoomScale="85" zoomScaleNormal="85" workbookViewId="0">
      <pane xSplit="2" ySplit="1" topLeftCell="C10" activePane="bottomRight" state="frozen"/>
      <selection pane="bottomRight" activeCell="L10" sqref="L10:L17"/>
      <selection pane="bottomLeft"/>
      <selection pane="topRight"/>
    </sheetView>
  </sheetViews>
  <sheetFormatPr defaultColWidth="8.7109375" defaultRowHeight="15" customHeight="1"/>
  <cols>
    <col min="1" max="1" width="5.5703125" style="10" customWidth="1"/>
    <col min="2" max="2" width="26.5703125" style="10" customWidth="1"/>
    <col min="3" max="3" width="24.140625" style="10" customWidth="1"/>
    <col min="4" max="4" width="12.5703125" style="10" customWidth="1"/>
    <col min="5" max="5" width="9.140625" style="10" customWidth="1"/>
    <col min="6" max="6" width="9.85546875" style="10" customWidth="1"/>
    <col min="7" max="7" width="13.5703125" style="10" customWidth="1"/>
    <col min="8" max="8" width="11.85546875" style="10" customWidth="1"/>
    <col min="9" max="10" width="12.42578125" style="10" customWidth="1"/>
    <col min="11" max="11" width="20.5703125" style="10" customWidth="1"/>
    <col min="12" max="12" width="8.85546875" style="10" customWidth="1"/>
    <col min="13" max="13" width="11.140625" style="10" customWidth="1"/>
    <col min="14" max="14" width="12.7109375" style="10" customWidth="1"/>
    <col min="15" max="15" width="16.140625" style="10" customWidth="1"/>
    <col min="16" max="16" width="10.42578125" style="10" customWidth="1"/>
    <col min="17" max="17" width="11.28515625" style="10" customWidth="1"/>
    <col min="18" max="18" width="18" style="10" customWidth="1"/>
    <col min="19" max="20" width="8.7109375" style="10"/>
    <col min="21" max="24" width="8.7109375" style="10" customWidth="1"/>
    <col min="25" max="16384" width="8.7109375" style="10"/>
  </cols>
  <sheetData>
    <row r="1" spans="1:18" s="17" customFormat="1" ht="42.75" customHeight="1">
      <c r="A1" s="17" t="s">
        <v>25</v>
      </c>
      <c r="B1" s="17" t="s">
        <v>26</v>
      </c>
      <c r="C1" s="17" t="s">
        <v>3</v>
      </c>
      <c r="D1" s="17" t="s">
        <v>2</v>
      </c>
      <c r="E1" s="17" t="s">
        <v>27</v>
      </c>
      <c r="F1" s="17" t="s">
        <v>28</v>
      </c>
      <c r="G1" s="17" t="s">
        <v>29</v>
      </c>
      <c r="H1" s="17" t="s">
        <v>30</v>
      </c>
      <c r="I1" s="17" t="s">
        <v>31</v>
      </c>
      <c r="J1" s="17" t="s">
        <v>32</v>
      </c>
      <c r="K1" s="17" t="s">
        <v>33</v>
      </c>
      <c r="L1" s="17" t="s">
        <v>17</v>
      </c>
      <c r="M1" s="17" t="s">
        <v>34</v>
      </c>
      <c r="N1" s="17" t="s">
        <v>35</v>
      </c>
      <c r="O1" s="17" t="s">
        <v>36</v>
      </c>
      <c r="P1" s="17" t="s">
        <v>37</v>
      </c>
      <c r="Q1" s="17" t="s">
        <v>38</v>
      </c>
      <c r="R1" s="17" t="s">
        <v>39</v>
      </c>
    </row>
    <row r="2" spans="1:18">
      <c r="A2" s="10">
        <v>1</v>
      </c>
      <c r="B2" s="10" t="str">
        <f>_xlfn.CONCAT(C2,"_",D2,"_",E2)</f>
        <v>Flour_Moisture_1</v>
      </c>
      <c r="C2" s="10" t="s">
        <v>8</v>
      </c>
      <c r="D2" s="10" t="s">
        <v>7</v>
      </c>
      <c r="E2" s="10">
        <v>1</v>
      </c>
      <c r="F2" s="10">
        <v>148</v>
      </c>
      <c r="G2" s="10">
        <v>5.0000999999999998</v>
      </c>
      <c r="H2" s="11">
        <f>SUM(_xlfn.XLOOKUP(Table2[[#This Row],[Recipient number]],Extra_RecipientsWeight!A:A,Extra_RecipientsWeight!B:B)+G2)</f>
        <v>29.140999999999998</v>
      </c>
      <c r="I2" s="10">
        <v>28.519400000000001</v>
      </c>
      <c r="J2" s="11">
        <f>Table2[[#This Row],[Incial Weight (g)]]-Table2[[#This Row],[Final Weight (g)]]</f>
        <v>0.62159999999999727</v>
      </c>
      <c r="K2" s="50">
        <f>(Table2[[#This Row],[Incial Weight (g)]]-Table2[[#This Row],[Final Weight (g)]])/Table2[[#This Row],[Sample Weight (g)]]</f>
        <v>0.12431751364972646</v>
      </c>
      <c r="L2" s="15"/>
      <c r="M2" s="12"/>
      <c r="N2" s="12"/>
      <c r="O2" s="12"/>
      <c r="P2" s="12"/>
      <c r="Q2" s="13">
        <v>45947</v>
      </c>
      <c r="R2" s="11"/>
    </row>
    <row r="3" spans="1:18">
      <c r="A3" s="10">
        <v>2</v>
      </c>
      <c r="B3" s="10" t="str">
        <f t="shared" ref="B3:B31" si="0">_xlfn.CONCAT(C3,"_",D3,"_",E3)</f>
        <v>Flour_Moisture_2</v>
      </c>
      <c r="C3" s="10" t="s">
        <v>8</v>
      </c>
      <c r="D3" s="10" t="s">
        <v>7</v>
      </c>
      <c r="E3" s="10">
        <v>2</v>
      </c>
      <c r="F3" s="10">
        <v>446</v>
      </c>
      <c r="G3" s="11">
        <v>5.0015999999999998</v>
      </c>
      <c r="H3" s="11">
        <f>SUM(_xlfn.XLOOKUP(Table2[[#This Row],[Recipient number]],Extra_RecipientsWeight!A:A,Extra_RecipientsWeight!B:B)+G3)</f>
        <v>32.486199999999997</v>
      </c>
      <c r="I3" s="11">
        <v>31.864599999999999</v>
      </c>
      <c r="J3" s="11">
        <f>Table2[[#This Row],[Incial Weight (g)]]-Table2[[#This Row],[Final Weight (g)]]</f>
        <v>0.62159999999999727</v>
      </c>
      <c r="K3" s="50">
        <f>(Table2[[#This Row],[Incial Weight (g)]]-Table2[[#This Row],[Final Weight (g)]])/Table2[[#This Row],[Sample Weight (g)]]</f>
        <v>0.12428023032629504</v>
      </c>
      <c r="L3" s="15"/>
      <c r="M3" s="15"/>
      <c r="N3" s="12"/>
      <c r="O3" s="12"/>
      <c r="P3" s="12"/>
      <c r="Q3" s="13">
        <v>45947</v>
      </c>
      <c r="R3" s="11"/>
    </row>
    <row r="4" spans="1:18">
      <c r="A4" s="10">
        <v>3</v>
      </c>
      <c r="B4" s="10" t="str">
        <f t="shared" si="0"/>
        <v>BSG_Moisture_1</v>
      </c>
      <c r="C4" s="10" t="s">
        <v>10</v>
      </c>
      <c r="D4" s="10" t="s">
        <v>7</v>
      </c>
      <c r="E4" s="10">
        <v>1</v>
      </c>
      <c r="F4" s="10">
        <v>485</v>
      </c>
      <c r="G4" s="11">
        <v>5.0014000000000003</v>
      </c>
      <c r="H4" s="11">
        <f>SUM(_xlfn.XLOOKUP(Table2[[#This Row],[Recipient number]],Extra_RecipientsWeight!A:A,Extra_RecipientsWeight!B:B)+G4)</f>
        <v>31.948</v>
      </c>
      <c r="I4" s="11">
        <v>31.705300000000001</v>
      </c>
      <c r="J4" s="11">
        <f>Table2[[#This Row],[Incial Weight (g)]]-Table2[[#This Row],[Final Weight (g)]]</f>
        <v>0.24269999999999925</v>
      </c>
      <c r="K4" s="50">
        <f>(Table2[[#This Row],[Incial Weight (g)]]-Table2[[#This Row],[Final Weight (g)]])/Table2[[#This Row],[Sample Weight (g)]]</f>
        <v>4.8526412604470597E-2</v>
      </c>
      <c r="L4" s="15"/>
      <c r="M4" s="15"/>
      <c r="N4" s="15"/>
      <c r="O4" s="15"/>
      <c r="P4" s="15"/>
      <c r="Q4" s="13">
        <v>45947</v>
      </c>
      <c r="R4" s="11"/>
    </row>
    <row r="5" spans="1:18">
      <c r="A5" s="10">
        <v>4</v>
      </c>
      <c r="B5" s="10" t="str">
        <f t="shared" si="0"/>
        <v>BSG_Moisture_2</v>
      </c>
      <c r="C5" s="10" t="s">
        <v>10</v>
      </c>
      <c r="D5" s="10" t="s">
        <v>7</v>
      </c>
      <c r="E5" s="10">
        <v>2</v>
      </c>
      <c r="F5" s="10">
        <v>352</v>
      </c>
      <c r="G5" s="11">
        <v>5.0006000000000004</v>
      </c>
      <c r="H5" s="11">
        <f>SUM(_xlfn.XLOOKUP(Table2[[#This Row],[Recipient number]],Extra_RecipientsWeight!A:A,Extra_RecipientsWeight!B:B)+G5)</f>
        <v>28.695900000000002</v>
      </c>
      <c r="I5" s="11">
        <v>28.445499999999999</v>
      </c>
      <c r="J5" s="11">
        <f>Table2[[#This Row],[Incial Weight (g)]]-Table2[[#This Row],[Final Weight (g)]]</f>
        <v>0.25040000000000262</v>
      </c>
      <c r="K5" s="50">
        <f>(Table2[[#This Row],[Incial Weight (g)]]-Table2[[#This Row],[Final Weight (g)]])/Table2[[#This Row],[Sample Weight (g)]]</f>
        <v>5.0073991121065996E-2</v>
      </c>
      <c r="L5" s="15"/>
      <c r="M5" s="15"/>
      <c r="N5" s="15"/>
      <c r="O5" s="15"/>
      <c r="P5" s="15"/>
      <c r="Q5" s="13">
        <v>45947</v>
      </c>
      <c r="R5" s="11"/>
    </row>
    <row r="6" spans="1:18">
      <c r="A6" s="10">
        <v>5</v>
      </c>
      <c r="B6" s="10" t="str">
        <f t="shared" si="0"/>
        <v>10% BSG Mixture_Moisture_1</v>
      </c>
      <c r="C6" s="10" t="s">
        <v>12</v>
      </c>
      <c r="D6" s="10" t="s">
        <v>7</v>
      </c>
      <c r="E6" s="10">
        <v>1</v>
      </c>
      <c r="F6" s="10">
        <v>212</v>
      </c>
      <c r="G6" s="11">
        <v>5.0004999999999997</v>
      </c>
      <c r="H6" s="11">
        <f>SUM(_xlfn.XLOOKUP(Table2[[#This Row],[Recipient number]],Extra_RecipientsWeight!A:A,Extra_RecipientsWeight!B:B)+G6)</f>
        <v>32.5184</v>
      </c>
      <c r="I6" s="11">
        <v>31.934000000000001</v>
      </c>
      <c r="J6" s="11">
        <f>Table2[[#This Row],[Incial Weight (g)]]-Table2[[#This Row],[Final Weight (g)]]</f>
        <v>0.5843999999999987</v>
      </c>
      <c r="K6" s="50">
        <f>(Table2[[#This Row],[Incial Weight (g)]]-Table2[[#This Row],[Final Weight (g)]])/Table2[[#This Row],[Sample Weight (g)]]</f>
        <v>0.11686831316868287</v>
      </c>
      <c r="L6" s="15"/>
      <c r="M6" s="15"/>
      <c r="N6" s="15"/>
      <c r="O6" s="15"/>
      <c r="P6" s="15"/>
      <c r="Q6" s="13">
        <v>45947</v>
      </c>
      <c r="R6" s="11"/>
    </row>
    <row r="7" spans="1:18">
      <c r="A7" s="10">
        <v>6</v>
      </c>
      <c r="B7" s="10" t="str">
        <f t="shared" si="0"/>
        <v>10% BSG Mixture_Moisture_2</v>
      </c>
      <c r="C7" s="10" t="s">
        <v>12</v>
      </c>
      <c r="D7" s="10" t="s">
        <v>7</v>
      </c>
      <c r="E7" s="10">
        <v>2</v>
      </c>
      <c r="F7" s="10">
        <v>793</v>
      </c>
      <c r="G7" s="11">
        <v>5.0004999999999997</v>
      </c>
      <c r="H7" s="11">
        <f>SUM(_xlfn.XLOOKUP(Table2[[#This Row],[Recipient number]],Extra_RecipientsWeight!A:A,Extra_RecipientsWeight!B:B)+G7)</f>
        <v>32.247799999999998</v>
      </c>
      <c r="I7" s="11">
        <v>31.6709</v>
      </c>
      <c r="J7" s="11">
        <f>Table2[[#This Row],[Incial Weight (g)]]-Table2[[#This Row],[Final Weight (g)]]</f>
        <v>0.57689999999999841</v>
      </c>
      <c r="K7" s="50">
        <f>(Table2[[#This Row],[Incial Weight (g)]]-Table2[[#This Row],[Final Weight (g)]])/Table2[[#This Row],[Sample Weight (g)]]</f>
        <v>0.11536846315368432</v>
      </c>
      <c r="L7" s="15"/>
      <c r="M7" s="15"/>
      <c r="N7" s="15"/>
      <c r="O7" s="15"/>
      <c r="P7" s="15"/>
      <c r="Q7" s="13">
        <v>45947</v>
      </c>
      <c r="R7" s="11"/>
    </row>
    <row r="8" spans="1:18">
      <c r="A8" s="10">
        <v>7</v>
      </c>
      <c r="B8" s="10" t="str">
        <f t="shared" si="0"/>
        <v>20% BSG Mixture_Moisture_1</v>
      </c>
      <c r="C8" s="10" t="s">
        <v>14</v>
      </c>
      <c r="D8" s="10" t="s">
        <v>7</v>
      </c>
      <c r="E8" s="10">
        <v>1</v>
      </c>
      <c r="F8" s="10">
        <v>471</v>
      </c>
      <c r="G8" s="11">
        <v>5</v>
      </c>
      <c r="H8" s="11">
        <f>SUM(_xlfn.XLOOKUP(Table2[[#This Row],[Recipient number]],Extra_RecipientsWeight!A:A,Extra_RecipientsWeight!B:B)+G8)</f>
        <v>32.314999999999998</v>
      </c>
      <c r="I8" s="11">
        <v>31.773399999999999</v>
      </c>
      <c r="J8" s="11">
        <f>Table2[[#This Row],[Incial Weight (g)]]-Table2[[#This Row],[Final Weight (g)]]</f>
        <v>0.54159999999999897</v>
      </c>
      <c r="K8" s="50">
        <f>(Table2[[#This Row],[Incial Weight (g)]]-Table2[[#This Row],[Final Weight (g)]])/Table2[[#This Row],[Sample Weight (g)]]</f>
        <v>0.10831999999999979</v>
      </c>
      <c r="L8" s="15"/>
      <c r="M8" s="15"/>
      <c r="N8" s="15"/>
      <c r="O8" s="15"/>
      <c r="P8" s="15"/>
      <c r="Q8" s="13">
        <v>45947</v>
      </c>
      <c r="R8" s="11"/>
    </row>
    <row r="9" spans="1:18">
      <c r="A9" s="10">
        <v>8</v>
      </c>
      <c r="B9" s="10" t="str">
        <f t="shared" si="0"/>
        <v>20% BSG Mixture_Moisture_2</v>
      </c>
      <c r="C9" s="10" t="s">
        <v>14</v>
      </c>
      <c r="D9" s="10" t="s">
        <v>7</v>
      </c>
      <c r="E9" s="10">
        <v>2</v>
      </c>
      <c r="F9" s="10">
        <v>403</v>
      </c>
      <c r="G9" s="11">
        <v>5.0010000000000003</v>
      </c>
      <c r="H9" s="11">
        <f>SUM(_xlfn.XLOOKUP(Table2[[#This Row],[Recipient number]],Extra_RecipientsWeight!A:A,Extra_RecipientsWeight!B:B)+G9)</f>
        <v>31.942700000000002</v>
      </c>
      <c r="I9" s="11">
        <v>31.4162</v>
      </c>
      <c r="J9" s="11">
        <f>Table2[[#This Row],[Incial Weight (g)]]-Table2[[#This Row],[Final Weight (g)]]</f>
        <v>0.52650000000000219</v>
      </c>
      <c r="K9" s="50">
        <f>(Table2[[#This Row],[Incial Weight (g)]]-Table2[[#This Row],[Final Weight (g)]])/Table2[[#This Row],[Sample Weight (g)]]</f>
        <v>0.1052789442111582</v>
      </c>
      <c r="L9" s="15"/>
      <c r="M9" s="12"/>
      <c r="N9" s="15"/>
      <c r="O9" s="15"/>
      <c r="P9" s="15"/>
      <c r="Q9" s="13">
        <v>45947</v>
      </c>
      <c r="R9" s="11"/>
    </row>
    <row r="10" spans="1:18" ht="16.5" customHeight="1">
      <c r="A10" s="10">
        <v>9</v>
      </c>
      <c r="B10" s="10" t="str">
        <f t="shared" si="0"/>
        <v>Flour_Ash_1</v>
      </c>
      <c r="C10" s="10" t="s">
        <v>8</v>
      </c>
      <c r="D10" s="10" t="s">
        <v>17</v>
      </c>
      <c r="E10" s="10">
        <v>1</v>
      </c>
      <c r="F10" s="10">
        <v>14</v>
      </c>
      <c r="G10" s="11">
        <v>3.0007000000000001</v>
      </c>
      <c r="H10" s="11">
        <f>SUM(_xlfn.XLOOKUP(Table2[[#This Row],[Recipient number]],Extra_RecipientsWeight!A:A,Extra_RecipientsWeight!B:B)+G10)</f>
        <v>23.061300000000003</v>
      </c>
      <c r="I10" s="11">
        <v>20.079499999999999</v>
      </c>
      <c r="J10" s="11">
        <f>Table2[[#This Row],[Incial Weight (g)]]-Table2[[#This Row],[Final Weight (g)]]</f>
        <v>2.9818000000000033</v>
      </c>
      <c r="K10" s="15"/>
      <c r="L10" s="50">
        <f>(Table2[[#This Row],[Sample Weight (g)]]-(Table2[[#This Row],[Incial Weight (g)]]-Table2[[#This Row],[Final Weight (g)]]))/Table2[[#This Row],[Sample Weight (g)]]</f>
        <v>6.2985303429189217E-3</v>
      </c>
      <c r="M10" s="15"/>
      <c r="N10" s="23" t="s">
        <v>40</v>
      </c>
      <c r="O10" s="43"/>
      <c r="P10" s="15"/>
      <c r="Q10" s="13">
        <v>45947</v>
      </c>
      <c r="R10" s="11"/>
    </row>
    <row r="11" spans="1:18">
      <c r="A11" s="10">
        <v>10</v>
      </c>
      <c r="B11" s="10" t="str">
        <f t="shared" si="0"/>
        <v>Flour_Ash_2</v>
      </c>
      <c r="C11" s="10" t="s">
        <v>8</v>
      </c>
      <c r="D11" s="10" t="s">
        <v>17</v>
      </c>
      <c r="E11" s="10">
        <v>2</v>
      </c>
      <c r="F11" s="10">
        <v>22</v>
      </c>
      <c r="G11" s="11">
        <v>2.9994999999999998</v>
      </c>
      <c r="H11" s="11">
        <f>SUM(_xlfn.XLOOKUP(Table2[[#This Row],[Recipient number]],Extra_RecipientsWeight!A:A,Extra_RecipientsWeight!B:B)+G11)</f>
        <v>23.106200000000001</v>
      </c>
      <c r="I11" s="11">
        <v>20.127500000000001</v>
      </c>
      <c r="J11" s="11">
        <f>Table2[[#This Row],[Incial Weight (g)]]-Table2[[#This Row],[Final Weight (g)]]</f>
        <v>2.9786999999999999</v>
      </c>
      <c r="K11" s="15"/>
      <c r="L11" s="50">
        <f>(Table2[[#This Row],[Sample Weight (g)]]-(Table2[[#This Row],[Incial Weight (g)]]-Table2[[#This Row],[Final Weight (g)]]))/Table2[[#This Row],[Sample Weight (g)]]</f>
        <v>6.9344890815135627E-3</v>
      </c>
      <c r="M11" s="15"/>
      <c r="N11" s="23" t="s">
        <v>40</v>
      </c>
      <c r="O11" s="43"/>
      <c r="P11" s="15"/>
      <c r="Q11" s="13">
        <v>45947</v>
      </c>
      <c r="R11" s="11"/>
    </row>
    <row r="12" spans="1:18">
      <c r="A12" s="10">
        <v>11</v>
      </c>
      <c r="B12" s="10" t="str">
        <f t="shared" si="0"/>
        <v>BSG_Ash_1</v>
      </c>
      <c r="C12" s="10" t="s">
        <v>10</v>
      </c>
      <c r="D12" s="10" t="s">
        <v>17</v>
      </c>
      <c r="E12" s="10">
        <v>1</v>
      </c>
      <c r="F12" s="10">
        <v>18</v>
      </c>
      <c r="G12" s="11">
        <v>3.0007000000000001</v>
      </c>
      <c r="H12" s="11">
        <f>SUM(_xlfn.XLOOKUP(Table2[[#This Row],[Recipient number]],Extra_RecipientsWeight!A:A,Extra_RecipientsWeight!B:B)+G12)</f>
        <v>24.095399999999998</v>
      </c>
      <c r="I12" s="11">
        <v>21.215</v>
      </c>
      <c r="J12" s="11">
        <f>Table2[[#This Row],[Incial Weight (g)]]-Table2[[#This Row],[Final Weight (g)]]</f>
        <v>2.8803999999999981</v>
      </c>
      <c r="K12" s="15"/>
      <c r="L12" s="50">
        <f>(Table2[[#This Row],[Sample Weight (g)]]-(Table2[[#This Row],[Incial Weight (g)]]-Table2[[#This Row],[Final Weight (g)]]))/Table2[[#This Row],[Sample Weight (g)]]</f>
        <v>4.0090645516046942E-2</v>
      </c>
      <c r="M12" s="15"/>
      <c r="N12" s="23" t="s">
        <v>40</v>
      </c>
      <c r="O12" s="43"/>
      <c r="P12" s="15"/>
      <c r="Q12" s="13">
        <v>45947</v>
      </c>
      <c r="R12" s="11"/>
    </row>
    <row r="13" spans="1:18">
      <c r="A13" s="10">
        <v>12</v>
      </c>
      <c r="B13" s="10" t="str">
        <f t="shared" si="0"/>
        <v>BSG_Ash_2</v>
      </c>
      <c r="C13" s="10" t="s">
        <v>10</v>
      </c>
      <c r="D13" s="10" t="s">
        <v>17</v>
      </c>
      <c r="E13" s="10">
        <v>2</v>
      </c>
      <c r="F13" s="10">
        <v>4</v>
      </c>
      <c r="G13" s="11">
        <v>3.0009000000000001</v>
      </c>
      <c r="H13" s="11">
        <f>SUM(_xlfn.XLOOKUP(Table2[[#This Row],[Recipient number]],Extra_RecipientsWeight!A:A,Extra_RecipientsWeight!B:B)+G13)</f>
        <v>21.420500000000001</v>
      </c>
      <c r="I13" s="11">
        <v>18.541799999999999</v>
      </c>
      <c r="J13" s="11">
        <f>Table2[[#This Row],[Incial Weight (g)]]-Table2[[#This Row],[Final Weight (g)]]</f>
        <v>2.878700000000002</v>
      </c>
      <c r="K13" s="15"/>
      <c r="L13" s="50">
        <f>(Table2[[#This Row],[Sample Weight (g)]]-(Table2[[#This Row],[Incial Weight (g)]]-Table2[[#This Row],[Final Weight (g)]]))/Table2[[#This Row],[Sample Weight (g)]]</f>
        <v>4.0721116998233227E-2</v>
      </c>
      <c r="M13" s="15"/>
      <c r="N13" s="23" t="s">
        <v>40</v>
      </c>
      <c r="O13" s="43"/>
      <c r="P13" s="15"/>
      <c r="Q13" s="13">
        <v>45947</v>
      </c>
      <c r="R13" s="11"/>
    </row>
    <row r="14" spans="1:18">
      <c r="A14" s="10">
        <v>13</v>
      </c>
      <c r="B14" s="10" t="str">
        <f t="shared" si="0"/>
        <v>10% BSG Mixture_Ash_1</v>
      </c>
      <c r="C14" s="10" t="s">
        <v>12</v>
      </c>
      <c r="D14" s="10" t="s">
        <v>17</v>
      </c>
      <c r="E14" s="10">
        <v>1</v>
      </c>
      <c r="F14" s="10">
        <v>15</v>
      </c>
      <c r="G14" s="11">
        <v>3.0009999999999999</v>
      </c>
      <c r="H14" s="11">
        <f>SUM(_xlfn.XLOOKUP(Table2[[#This Row],[Recipient number]],Extra_RecipientsWeight!A:A,Extra_RecipientsWeight!B:B)+G14)</f>
        <v>22.167300000000001</v>
      </c>
      <c r="I14" s="11">
        <v>19.1967</v>
      </c>
      <c r="J14" s="11">
        <f>Table2[[#This Row],[Incial Weight (g)]]-Table2[[#This Row],[Final Weight (g)]]</f>
        <v>2.970600000000001</v>
      </c>
      <c r="K14" s="15"/>
      <c r="L14" s="50">
        <f>(Table2[[#This Row],[Sample Weight (g)]]-(Table2[[#This Row],[Incial Weight (g)]]-Table2[[#This Row],[Final Weight (g)]]))/Table2[[#This Row],[Sample Weight (g)]]</f>
        <v>1.0129956681105922E-2</v>
      </c>
      <c r="M14" s="15"/>
      <c r="N14" s="23" t="s">
        <v>40</v>
      </c>
      <c r="O14" s="43"/>
      <c r="P14" s="15"/>
      <c r="Q14" s="13">
        <v>45947</v>
      </c>
      <c r="R14" s="11"/>
    </row>
    <row r="15" spans="1:18">
      <c r="A15" s="10">
        <v>14</v>
      </c>
      <c r="B15" s="10" t="str">
        <f t="shared" si="0"/>
        <v>10% BSG Mixture_Ash_2</v>
      </c>
      <c r="C15" s="10" t="s">
        <v>12</v>
      </c>
      <c r="D15" s="10" t="s">
        <v>17</v>
      </c>
      <c r="E15" s="10">
        <v>2</v>
      </c>
      <c r="F15" s="10">
        <v>21</v>
      </c>
      <c r="G15" s="11">
        <v>3.0003000000000002</v>
      </c>
      <c r="H15" s="11">
        <f>SUM(_xlfn.XLOOKUP(Table2[[#This Row],[Recipient number]],Extra_RecipientsWeight!A:A,Extra_RecipientsWeight!B:B)+G15)</f>
        <v>22.807500000000001</v>
      </c>
      <c r="I15" s="11">
        <v>19.837499999999999</v>
      </c>
      <c r="J15" s="11">
        <f>Table2[[#This Row],[Incial Weight (g)]]-Table2[[#This Row],[Final Weight (g)]]</f>
        <v>2.9700000000000024</v>
      </c>
      <c r="K15" s="15"/>
      <c r="L15" s="50">
        <f>(Table2[[#This Row],[Sample Weight (g)]]-(Table2[[#This Row],[Incial Weight (g)]]-Table2[[#This Row],[Final Weight (g)]]))/Table2[[#This Row],[Sample Weight (g)]]</f>
        <v>1.0098990100989158E-2</v>
      </c>
      <c r="M15" s="15"/>
      <c r="N15" s="23" t="s">
        <v>40</v>
      </c>
      <c r="O15" s="43"/>
      <c r="P15" s="15"/>
      <c r="Q15" s="13">
        <v>45947</v>
      </c>
      <c r="R15" s="11"/>
    </row>
    <row r="16" spans="1:18">
      <c r="A16" s="10">
        <v>15</v>
      </c>
      <c r="B16" s="10" t="str">
        <f t="shared" si="0"/>
        <v>20% BSG Mixture_Ash_1</v>
      </c>
      <c r="C16" s="10" t="s">
        <v>14</v>
      </c>
      <c r="D16" s="10" t="s">
        <v>17</v>
      </c>
      <c r="E16" s="10">
        <v>1</v>
      </c>
      <c r="F16" s="10">
        <v>5</v>
      </c>
      <c r="G16" s="11">
        <v>3.0001000000000002</v>
      </c>
      <c r="H16" s="11">
        <f>SUM(_xlfn.XLOOKUP(Table2[[#This Row],[Recipient number]],Extra_RecipientsWeight!A:A,Extra_RecipientsWeight!B:B)+G16)</f>
        <v>23.09</v>
      </c>
      <c r="I16" s="11">
        <v>20.130199999999999</v>
      </c>
      <c r="J16" s="11">
        <f>Table2[[#This Row],[Incial Weight (g)]]-Table2[[#This Row],[Final Weight (g)]]</f>
        <v>2.9598000000000013</v>
      </c>
      <c r="K16" s="15"/>
      <c r="L16" s="50">
        <f>(Table2[[#This Row],[Sample Weight (g)]]-(Table2[[#This Row],[Incial Weight (g)]]-Table2[[#This Row],[Final Weight (g)]]))/Table2[[#This Row],[Sample Weight (g)]]</f>
        <v>1.3432885570480614E-2</v>
      </c>
      <c r="M16" s="15"/>
      <c r="N16" s="23" t="s">
        <v>40</v>
      </c>
      <c r="O16" s="43"/>
      <c r="P16" s="15"/>
      <c r="Q16" s="13">
        <v>45947</v>
      </c>
      <c r="R16" s="11"/>
    </row>
    <row r="17" spans="1:18">
      <c r="A17" s="10">
        <v>16</v>
      </c>
      <c r="B17" s="10" t="str">
        <f t="shared" si="0"/>
        <v>20% BSG Mixture_Ash_2</v>
      </c>
      <c r="C17" s="10" t="s">
        <v>14</v>
      </c>
      <c r="D17" s="10" t="s">
        <v>17</v>
      </c>
      <c r="E17" s="10">
        <v>2</v>
      </c>
      <c r="F17" s="10">
        <v>25</v>
      </c>
      <c r="G17" s="11">
        <v>2.9996</v>
      </c>
      <c r="H17" s="11">
        <f>SUM(_xlfn.XLOOKUP(Table2[[#This Row],[Recipient number]],Extra_RecipientsWeight!A:A,Extra_RecipientsWeight!B:B)+G17)</f>
        <v>22.1767</v>
      </c>
      <c r="I17" s="11">
        <v>19.217099999999999</v>
      </c>
      <c r="J17" s="11">
        <f>Table2[[#This Row],[Incial Weight (g)]]-Table2[[#This Row],[Final Weight (g)]]</f>
        <v>2.9596000000000018</v>
      </c>
      <c r="K17" s="15"/>
      <c r="L17" s="50">
        <f>(Table2[[#This Row],[Sample Weight (g)]]-(Table2[[#This Row],[Incial Weight (g)]]-Table2[[#This Row],[Final Weight (g)]]))/Table2[[#This Row],[Sample Weight (g)]]</f>
        <v>1.3335111348179177E-2</v>
      </c>
      <c r="M17" s="15"/>
      <c r="N17" s="23" t="s">
        <v>40</v>
      </c>
      <c r="O17" s="43"/>
      <c r="P17" s="15"/>
      <c r="Q17" s="13">
        <v>45947</v>
      </c>
      <c r="R17" s="11"/>
    </row>
    <row r="18" spans="1:18">
      <c r="A18" s="10">
        <v>17</v>
      </c>
      <c r="B18" s="10" t="str">
        <f t="shared" si="0"/>
        <v>Flour_Protein_1</v>
      </c>
      <c r="C18" s="10" t="s">
        <v>8</v>
      </c>
      <c r="D18" s="10" t="s">
        <v>20</v>
      </c>
      <c r="E18" s="10">
        <v>1</v>
      </c>
      <c r="F18" s="10" t="s">
        <v>41</v>
      </c>
      <c r="G18" s="11">
        <v>1.0004999999999999</v>
      </c>
      <c r="H18" s="11">
        <f>Table2[[#This Row],[Sample Weight (g)]]</f>
        <v>1.0004999999999999</v>
      </c>
      <c r="I18" s="15"/>
      <c r="J18" s="15"/>
      <c r="K18" s="15"/>
      <c r="L18" s="23" t="s">
        <v>40</v>
      </c>
      <c r="M18" s="51">
        <f>1-K2</f>
        <v>0.87568248635027357</v>
      </c>
      <c r="N18" s="52">
        <v>12.8</v>
      </c>
      <c r="O18" s="51">
        <v>0.1278</v>
      </c>
      <c r="P18" s="15"/>
      <c r="Q18" s="13">
        <v>45947</v>
      </c>
      <c r="R18" s="11"/>
    </row>
    <row r="19" spans="1:18">
      <c r="A19" s="10">
        <v>18</v>
      </c>
      <c r="B19" s="10" t="str">
        <f t="shared" si="0"/>
        <v>Flour_Protein_2</v>
      </c>
      <c r="C19" s="10" t="s">
        <v>8</v>
      </c>
      <c r="D19" s="10" t="s">
        <v>20</v>
      </c>
      <c r="E19" s="10">
        <v>2</v>
      </c>
      <c r="F19" s="10" t="s">
        <v>42</v>
      </c>
      <c r="G19" s="11">
        <v>1.0005999999999999</v>
      </c>
      <c r="H19" s="11">
        <f>Table2[[#This Row],[Sample Weight (g)]]</f>
        <v>1.0005999999999999</v>
      </c>
      <c r="I19" s="15"/>
      <c r="J19" s="15"/>
      <c r="K19" s="15"/>
      <c r="L19" s="23" t="s">
        <v>40</v>
      </c>
      <c r="M19" s="51">
        <f t="shared" ref="M19:M25" si="1">1-K3</f>
        <v>0.87571976967370491</v>
      </c>
      <c r="N19" s="52">
        <v>13</v>
      </c>
      <c r="O19" s="51">
        <v>0.1298</v>
      </c>
      <c r="P19" s="15"/>
      <c r="Q19" s="13">
        <v>45947</v>
      </c>
      <c r="R19" s="11"/>
    </row>
    <row r="20" spans="1:18">
      <c r="A20" s="10">
        <v>19</v>
      </c>
      <c r="B20" s="10" t="str">
        <f t="shared" si="0"/>
        <v>BSG_Protein_1</v>
      </c>
      <c r="C20" s="10" t="s">
        <v>10</v>
      </c>
      <c r="D20" s="10" t="s">
        <v>20</v>
      </c>
      <c r="E20" s="10">
        <v>1</v>
      </c>
      <c r="F20" s="10" t="s">
        <v>43</v>
      </c>
      <c r="G20" s="11">
        <v>1.0005999999999999</v>
      </c>
      <c r="H20" s="11">
        <f>Table2[[#This Row],[Sample Weight (g)]]</f>
        <v>1.0005999999999999</v>
      </c>
      <c r="I20" s="15"/>
      <c r="J20" s="15"/>
      <c r="K20" s="15"/>
      <c r="L20" s="23" t="s">
        <v>40</v>
      </c>
      <c r="M20" s="51">
        <f t="shared" si="1"/>
        <v>0.95147358739552945</v>
      </c>
      <c r="N20" s="52">
        <v>23.8</v>
      </c>
      <c r="O20" s="51">
        <v>0.21870000000000001</v>
      </c>
      <c r="P20" s="15"/>
      <c r="Q20" s="13">
        <v>45947</v>
      </c>
      <c r="R20" s="11"/>
    </row>
    <row r="21" spans="1:18">
      <c r="A21" s="10">
        <v>20</v>
      </c>
      <c r="B21" s="10" t="str">
        <f t="shared" si="0"/>
        <v>BSG_Protein_2</v>
      </c>
      <c r="C21" s="10" t="s">
        <v>10</v>
      </c>
      <c r="D21" s="10" t="s">
        <v>20</v>
      </c>
      <c r="E21" s="10">
        <v>2</v>
      </c>
      <c r="F21" s="10" t="s">
        <v>44</v>
      </c>
      <c r="G21" s="11">
        <v>1.0004999999999999</v>
      </c>
      <c r="H21" s="11">
        <f>Table2[[#This Row],[Sample Weight (g)]]</f>
        <v>1.0004999999999999</v>
      </c>
      <c r="I21" s="15"/>
      <c r="J21" s="15"/>
      <c r="K21" s="15"/>
      <c r="L21" s="23" t="s">
        <v>40</v>
      </c>
      <c r="M21" s="51">
        <f t="shared" si="1"/>
        <v>0.94992600887893397</v>
      </c>
      <c r="N21" s="52">
        <v>23.5</v>
      </c>
      <c r="O21" s="51">
        <v>0.21629999999999999</v>
      </c>
      <c r="P21" s="15"/>
      <c r="Q21" s="13">
        <v>45947</v>
      </c>
      <c r="R21" s="11"/>
    </row>
    <row r="22" spans="1:18">
      <c r="A22" s="10">
        <v>21</v>
      </c>
      <c r="B22" s="10" t="str">
        <f t="shared" si="0"/>
        <v>10% BSG Mixture_Protein_1</v>
      </c>
      <c r="C22" s="10" t="s">
        <v>12</v>
      </c>
      <c r="D22" s="10" t="s">
        <v>20</v>
      </c>
      <c r="E22" s="10">
        <v>1</v>
      </c>
      <c r="F22" s="10" t="s">
        <v>45</v>
      </c>
      <c r="G22" s="11">
        <v>1.0007999999999999</v>
      </c>
      <c r="H22" s="11">
        <f>Table2[[#This Row],[Sample Weight (g)]]</f>
        <v>1.0007999999999999</v>
      </c>
      <c r="I22" s="15"/>
      <c r="J22" s="15"/>
      <c r="K22" s="15"/>
      <c r="L22" s="23" t="s">
        <v>40</v>
      </c>
      <c r="M22" s="51">
        <f t="shared" si="1"/>
        <v>0.88313168683131715</v>
      </c>
      <c r="N22" s="52">
        <v>14.3</v>
      </c>
      <c r="O22" s="51">
        <v>0.14149999999999999</v>
      </c>
      <c r="P22" s="15"/>
      <c r="Q22" s="13">
        <v>45947</v>
      </c>
      <c r="R22" s="11"/>
    </row>
    <row r="23" spans="1:18">
      <c r="A23" s="10">
        <v>22</v>
      </c>
      <c r="B23" s="10" t="str">
        <f t="shared" si="0"/>
        <v>10% BSG Mixture_Protein_2</v>
      </c>
      <c r="C23" s="10" t="s">
        <v>12</v>
      </c>
      <c r="D23" s="10" t="s">
        <v>20</v>
      </c>
      <c r="E23" s="10">
        <v>2</v>
      </c>
      <c r="F23" s="10" t="s">
        <v>46</v>
      </c>
      <c r="G23" s="11">
        <v>1</v>
      </c>
      <c r="H23" s="11">
        <f>Table2[[#This Row],[Sample Weight (g)]]</f>
        <v>1</v>
      </c>
      <c r="I23" s="15"/>
      <c r="J23" s="15"/>
      <c r="K23" s="15"/>
      <c r="L23" s="23" t="s">
        <v>40</v>
      </c>
      <c r="M23" s="51">
        <f t="shared" si="1"/>
        <v>0.88463153684631568</v>
      </c>
      <c r="N23" s="52">
        <v>15</v>
      </c>
      <c r="O23" s="51">
        <v>0.14829999999999999</v>
      </c>
      <c r="P23" s="15"/>
      <c r="Q23" s="13">
        <v>45947</v>
      </c>
      <c r="R23" s="11"/>
    </row>
    <row r="24" spans="1:18">
      <c r="A24" s="10">
        <v>23</v>
      </c>
      <c r="B24" s="10" t="str">
        <f t="shared" si="0"/>
        <v>20% BSG Mixture_Protein_1</v>
      </c>
      <c r="C24" s="10" t="s">
        <v>14</v>
      </c>
      <c r="D24" s="10" t="s">
        <v>20</v>
      </c>
      <c r="E24" s="10">
        <v>1</v>
      </c>
      <c r="F24" s="10" t="s">
        <v>47</v>
      </c>
      <c r="G24" s="11">
        <v>1.0003</v>
      </c>
      <c r="H24" s="11">
        <f>Table2[[#This Row],[Sample Weight (g)]]</f>
        <v>1.0003</v>
      </c>
      <c r="I24" s="15"/>
      <c r="J24" s="15"/>
      <c r="K24" s="15"/>
      <c r="L24" s="23" t="s">
        <v>40</v>
      </c>
      <c r="M24" s="51">
        <f t="shared" si="1"/>
        <v>0.89168000000000025</v>
      </c>
      <c r="N24" s="52">
        <v>15</v>
      </c>
      <c r="O24" s="51">
        <v>0.14710000000000001</v>
      </c>
      <c r="P24" s="15"/>
      <c r="Q24" s="13">
        <v>45947</v>
      </c>
      <c r="R24" s="11"/>
    </row>
    <row r="25" spans="1:18">
      <c r="A25" s="10">
        <v>24</v>
      </c>
      <c r="B25" s="10" t="str">
        <f t="shared" si="0"/>
        <v>20% BSG Mixture_Protein_2</v>
      </c>
      <c r="C25" s="10" t="s">
        <v>14</v>
      </c>
      <c r="D25" s="10" t="s">
        <v>20</v>
      </c>
      <c r="E25" s="10">
        <v>2</v>
      </c>
      <c r="F25" s="10" t="s">
        <v>48</v>
      </c>
      <c r="G25" s="11">
        <v>1.0009999999999999</v>
      </c>
      <c r="H25" s="11">
        <f>Table2[[#This Row],[Sample Weight (g)]]</f>
        <v>1.0009999999999999</v>
      </c>
      <c r="I25" s="15"/>
      <c r="J25" s="15"/>
      <c r="K25" s="15"/>
      <c r="L25" s="23" t="s">
        <v>40</v>
      </c>
      <c r="M25" s="51">
        <f t="shared" si="1"/>
        <v>0.89472105578884176</v>
      </c>
      <c r="N25" s="52">
        <v>14.8</v>
      </c>
      <c r="O25" s="51">
        <v>0.14460000000000001</v>
      </c>
      <c r="P25" s="15"/>
      <c r="Q25" s="13">
        <v>45947</v>
      </c>
      <c r="R25" s="11"/>
    </row>
    <row r="26" spans="1:18">
      <c r="A26" s="10">
        <v>25</v>
      </c>
      <c r="B26" s="10" t="str">
        <f t="shared" si="0"/>
        <v>Flour_Gluten_1</v>
      </c>
      <c r="C26" s="10" t="s">
        <v>8</v>
      </c>
      <c r="D26" s="10" t="s">
        <v>21</v>
      </c>
      <c r="E26" s="10">
        <v>1</v>
      </c>
      <c r="F26" s="10" t="s">
        <v>41</v>
      </c>
      <c r="G26" s="14">
        <v>10</v>
      </c>
      <c r="H26" s="14">
        <f>Table2[[#This Row],[Sample Weight (g)]]</f>
        <v>10</v>
      </c>
      <c r="I26" s="14">
        <v>2.9</v>
      </c>
      <c r="J26" s="14">
        <f>G26-I26</f>
        <v>7.1</v>
      </c>
      <c r="K26" s="15"/>
      <c r="L26" s="15"/>
      <c r="M26" s="15"/>
      <c r="N26" s="15"/>
      <c r="O26" s="15"/>
      <c r="P26" s="18">
        <f>Table2[[#This Row],[Final Weight (g)]]*Table2[[#This Row],[Incial Weight (g)]]/(100-AVERAGE(K2:K3))</f>
        <v>0.29036091534246478</v>
      </c>
      <c r="Q26" s="13">
        <v>45947</v>
      </c>
      <c r="R26" s="11"/>
    </row>
    <row r="27" spans="1:18">
      <c r="A27" s="10">
        <v>26</v>
      </c>
      <c r="B27" s="10" t="str">
        <f t="shared" si="0"/>
        <v>Flour_Gluten_2</v>
      </c>
      <c r="C27" s="10" t="s">
        <v>8</v>
      </c>
      <c r="D27" s="10" t="s">
        <v>21</v>
      </c>
      <c r="E27" s="10">
        <v>2</v>
      </c>
      <c r="F27" s="10" t="s">
        <v>42</v>
      </c>
      <c r="G27" s="14">
        <v>10</v>
      </c>
      <c r="H27" s="14">
        <f>Table2[[#This Row],[Sample Weight (g)]]</f>
        <v>10</v>
      </c>
      <c r="I27" s="14">
        <v>2.9</v>
      </c>
      <c r="J27" s="14">
        <f>G27-I27</f>
        <v>7.1</v>
      </c>
      <c r="K27" s="15"/>
      <c r="L27" s="15"/>
      <c r="M27" s="15"/>
      <c r="N27" s="15"/>
      <c r="O27" s="15"/>
      <c r="P27" s="18">
        <f>Table2[[#This Row],[Final Weight (g)]]*Table2[[#This Row],[Incial Weight (g)]]/(100-AVERAGE(K2:K3))</f>
        <v>0.29036091534246478</v>
      </c>
      <c r="Q27" s="13">
        <v>45947</v>
      </c>
      <c r="R27" s="11"/>
    </row>
    <row r="28" spans="1:18">
      <c r="A28" s="10">
        <v>29</v>
      </c>
      <c r="B28" s="10" t="str">
        <f t="shared" si="0"/>
        <v>10% BSG Mixture_Gluten_1</v>
      </c>
      <c r="C28" s="10" t="s">
        <v>12</v>
      </c>
      <c r="D28" s="10" t="s">
        <v>21</v>
      </c>
      <c r="E28" s="10">
        <v>1</v>
      </c>
      <c r="F28" s="10" t="s">
        <v>45</v>
      </c>
      <c r="G28" s="14">
        <v>10</v>
      </c>
      <c r="H28" s="14">
        <f>Table2[[#This Row],[Sample Weight (g)]]</f>
        <v>10</v>
      </c>
      <c r="I28" s="14">
        <v>2.4</v>
      </c>
      <c r="J28" s="14">
        <f>G28-I28</f>
        <v>7.6</v>
      </c>
      <c r="K28" s="16"/>
      <c r="L28" s="16"/>
      <c r="M28" s="16"/>
      <c r="N28" s="16"/>
      <c r="O28" s="16"/>
      <c r="P28" s="18">
        <f>(Table2[[#This Row],[Final Weight (g)]]*Table2[[#This Row],[Incial Weight (g)]])/(100-AVERAGE(K6:K7))</f>
        <v>0.24027900811130853</v>
      </c>
      <c r="Q28" s="13">
        <v>45947</v>
      </c>
      <c r="R28" s="11"/>
    </row>
    <row r="29" spans="1:18">
      <c r="A29" s="10">
        <v>30</v>
      </c>
      <c r="B29" s="10" t="str">
        <f t="shared" si="0"/>
        <v>10% BSG Mixture_Gluten_2</v>
      </c>
      <c r="C29" s="10" t="s">
        <v>12</v>
      </c>
      <c r="D29" s="10" t="s">
        <v>21</v>
      </c>
      <c r="E29" s="10">
        <v>2</v>
      </c>
      <c r="F29" s="10" t="s">
        <v>46</v>
      </c>
      <c r="G29" s="14">
        <v>10</v>
      </c>
      <c r="H29" s="14">
        <f>Table2[[#This Row],[Sample Weight (g)]]</f>
        <v>10</v>
      </c>
      <c r="I29" s="14">
        <v>2.4</v>
      </c>
      <c r="J29" s="14">
        <f>G29-I29</f>
        <v>7.6</v>
      </c>
      <c r="K29" s="16"/>
      <c r="L29" s="16"/>
      <c r="M29" s="16"/>
      <c r="N29" s="16"/>
      <c r="O29" s="16"/>
      <c r="P29" s="18">
        <f>(Table2[[#This Row],[Final Weight (g)]]*Table2[[#This Row],[Incial Weight (g)]])/(100-AVERAGE(K6:K7))</f>
        <v>0.24027900811130853</v>
      </c>
      <c r="Q29" s="13">
        <v>45947</v>
      </c>
      <c r="R29" s="11"/>
    </row>
    <row r="30" spans="1:18">
      <c r="A30" s="10">
        <v>31</v>
      </c>
      <c r="B30" s="10" t="str">
        <f t="shared" si="0"/>
        <v>20% BSG Mixture_Gluten_1</v>
      </c>
      <c r="C30" s="10" t="s">
        <v>14</v>
      </c>
      <c r="D30" s="10" t="s">
        <v>21</v>
      </c>
      <c r="E30" s="10">
        <v>1</v>
      </c>
      <c r="F30" s="10" t="s">
        <v>47</v>
      </c>
      <c r="G30" s="14">
        <v>10</v>
      </c>
      <c r="H30" s="14">
        <f>Table2[[#This Row],[Sample Weight (g)]]</f>
        <v>10</v>
      </c>
      <c r="I30" s="14">
        <v>2.2000000000000002</v>
      </c>
      <c r="J30" s="14">
        <f>G30-I30</f>
        <v>7.8</v>
      </c>
      <c r="K30" s="16"/>
      <c r="L30" s="16"/>
      <c r="M30" s="16"/>
      <c r="N30" s="16"/>
      <c r="O30" s="16"/>
      <c r="P30" s="18">
        <f>Table2[[#This Row],[Incial Weight (g)]]*Table2[[#This Row],[Final Weight (g)]]/(100-AVERAGE(K8:K9))</f>
        <v>0.22023521004171517</v>
      </c>
      <c r="Q30" s="13">
        <v>45947</v>
      </c>
      <c r="R30" s="11"/>
    </row>
    <row r="31" spans="1:18">
      <c r="A31" s="10">
        <v>32</v>
      </c>
      <c r="B31" s="10" t="str">
        <f t="shared" si="0"/>
        <v>20% BSG Mixture_Gluten_2</v>
      </c>
      <c r="C31" s="10" t="s">
        <v>14</v>
      </c>
      <c r="D31" s="10" t="s">
        <v>21</v>
      </c>
      <c r="E31" s="10">
        <v>2</v>
      </c>
      <c r="F31" s="10" t="s">
        <v>48</v>
      </c>
      <c r="G31" s="14">
        <v>10</v>
      </c>
      <c r="H31" s="14">
        <f>Table2[[#This Row],[Sample Weight (g)]]</f>
        <v>10</v>
      </c>
      <c r="I31" s="14">
        <v>2.2999999999999998</v>
      </c>
      <c r="J31" s="14">
        <f>G31-I31</f>
        <v>7.7</v>
      </c>
      <c r="K31" s="16"/>
      <c r="L31" s="16"/>
      <c r="M31" s="16"/>
      <c r="N31" s="16"/>
      <c r="O31" s="16"/>
      <c r="P31" s="18">
        <f>Table2[[#This Row],[Incial Weight (g)]]*Table2[[#This Row],[Final Weight (g)]]/(100-AVERAGE(K8:K9))</f>
        <v>0.23024590140724768</v>
      </c>
      <c r="Q31" s="13">
        <v>45947</v>
      </c>
      <c r="R31" s="11"/>
    </row>
  </sheetData>
  <phoneticPr fontId="3" type="noConversion"/>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BB44D-A7E4-4243-B769-DEAD345C7014}">
  <dimension ref="A1:Z14"/>
  <sheetViews>
    <sheetView workbookViewId="0">
      <pane xSplit="3" ySplit="1" topLeftCell="D2" activePane="bottomRight" state="frozen"/>
      <selection pane="bottomRight" activeCell="K15" sqref="K15"/>
      <selection pane="bottomLeft"/>
      <selection pane="topRight"/>
    </sheetView>
  </sheetViews>
  <sheetFormatPr defaultRowHeight="15" customHeight="1"/>
  <cols>
    <col min="2" max="2" width="18.5703125" customWidth="1"/>
    <col min="3" max="3" width="12.5703125" bestFit="1" customWidth="1"/>
    <col min="5" max="5" width="13.42578125" customWidth="1"/>
    <col min="6" max="6" width="15.85546875" customWidth="1"/>
    <col min="7" max="7" width="15.28515625" customWidth="1"/>
    <col min="8" max="8" width="9.140625" customWidth="1"/>
    <col min="9" max="9" width="12.85546875" customWidth="1"/>
    <col min="10" max="11" width="14.140625" customWidth="1"/>
    <col min="12" max="12" width="20.140625" customWidth="1"/>
    <col min="13" max="14" width="19.85546875" customWidth="1"/>
    <col min="15" max="15" width="11.140625" customWidth="1"/>
    <col min="16" max="16" width="22.28515625" customWidth="1"/>
    <col min="17" max="17" width="20.5703125" customWidth="1"/>
    <col min="18" max="23" width="14.7109375" customWidth="1"/>
    <col min="24" max="24" width="10.42578125" bestFit="1" customWidth="1"/>
    <col min="25" max="25" width="139.85546875" customWidth="1"/>
    <col min="26" max="26" width="219.42578125" customWidth="1"/>
  </cols>
  <sheetData>
    <row r="1" spans="1:26" ht="27.75" customHeight="1">
      <c r="A1" s="38" t="s">
        <v>49</v>
      </c>
      <c r="B1" s="38" t="s">
        <v>3</v>
      </c>
      <c r="C1" s="21" t="s">
        <v>2</v>
      </c>
      <c r="D1" s="21" t="s">
        <v>27</v>
      </c>
      <c r="E1" s="21" t="s">
        <v>50</v>
      </c>
      <c r="F1" s="21" t="s">
        <v>51</v>
      </c>
      <c r="G1" s="21" t="s">
        <v>52</v>
      </c>
      <c r="H1" s="21" t="s">
        <v>53</v>
      </c>
      <c r="I1" s="21" t="s">
        <v>54</v>
      </c>
      <c r="J1" s="131" t="s">
        <v>55</v>
      </c>
      <c r="K1" s="131" t="s">
        <v>56</v>
      </c>
      <c r="L1" s="21" t="s">
        <v>57</v>
      </c>
      <c r="M1" s="21" t="s">
        <v>58</v>
      </c>
      <c r="N1" s="131" t="s">
        <v>59</v>
      </c>
      <c r="O1" s="131" t="s">
        <v>60</v>
      </c>
      <c r="P1" s="21" t="s">
        <v>61</v>
      </c>
      <c r="Q1" s="21" t="s">
        <v>62</v>
      </c>
      <c r="R1" s="21" t="s">
        <v>63</v>
      </c>
      <c r="S1" s="21" t="s">
        <v>64</v>
      </c>
      <c r="T1" s="21" t="s">
        <v>65</v>
      </c>
      <c r="U1" s="21" t="s">
        <v>66</v>
      </c>
      <c r="V1" s="21" t="s">
        <v>67</v>
      </c>
      <c r="W1" s="21" t="s">
        <v>68</v>
      </c>
      <c r="X1" s="21" t="s">
        <v>38</v>
      </c>
      <c r="Y1" s="22" t="s">
        <v>39</v>
      </c>
      <c r="Z1" s="38" t="s">
        <v>69</v>
      </c>
    </row>
    <row r="2" spans="1:26">
      <c r="A2" s="24">
        <v>1</v>
      </c>
      <c r="B2" s="24" t="s">
        <v>8</v>
      </c>
      <c r="C2" s="24" t="s">
        <v>70</v>
      </c>
      <c r="D2" s="24">
        <v>1</v>
      </c>
      <c r="E2" s="24">
        <v>295.10000000000002</v>
      </c>
      <c r="F2" s="24">
        <v>12.55</v>
      </c>
      <c r="G2" s="24">
        <v>183.2</v>
      </c>
      <c r="H2" s="24">
        <v>20</v>
      </c>
      <c r="I2" s="24">
        <v>30</v>
      </c>
      <c r="J2" s="24">
        <v>501</v>
      </c>
      <c r="K2" s="24">
        <v>60.1</v>
      </c>
      <c r="L2" s="24">
        <v>60.1</v>
      </c>
      <c r="M2" s="24">
        <v>58.5</v>
      </c>
      <c r="N2" s="24">
        <v>2.2000000000000002</v>
      </c>
      <c r="O2" s="24">
        <v>8.1</v>
      </c>
      <c r="P2" s="24">
        <v>39</v>
      </c>
      <c r="Q2" s="24">
        <v>55</v>
      </c>
      <c r="R2" s="24">
        <v>65</v>
      </c>
      <c r="S2" s="39"/>
      <c r="T2" s="39"/>
      <c r="U2" s="39"/>
      <c r="V2" s="39"/>
      <c r="W2" s="39"/>
      <c r="X2" s="40">
        <v>45758</v>
      </c>
      <c r="Y2" s="24"/>
      <c r="Z2" s="47" t="s">
        <v>71</v>
      </c>
    </row>
    <row r="3" spans="1:26" ht="15" customHeight="1">
      <c r="A3" s="24">
        <v>2</v>
      </c>
      <c r="B3" s="24" t="s">
        <v>72</v>
      </c>
      <c r="C3" s="24" t="s">
        <v>70</v>
      </c>
      <c r="D3" s="24">
        <v>1</v>
      </c>
      <c r="E3" s="24">
        <v>295.10000000000002</v>
      </c>
      <c r="F3" s="24">
        <v>12.6</v>
      </c>
      <c r="G3" s="24">
        <v>193.4</v>
      </c>
      <c r="H3" s="24">
        <v>30</v>
      </c>
      <c r="I3" s="24">
        <v>30</v>
      </c>
      <c r="J3" s="24">
        <v>527</v>
      </c>
      <c r="K3" s="24">
        <v>64.3</v>
      </c>
      <c r="L3" s="24">
        <v>65</v>
      </c>
      <c r="M3" s="24">
        <v>63.4</v>
      </c>
      <c r="N3" s="24">
        <v>9.9</v>
      </c>
      <c r="O3" s="24">
        <v>16.899999999999999</v>
      </c>
      <c r="P3" s="24">
        <v>4</v>
      </c>
      <c r="Q3" s="24">
        <v>34</v>
      </c>
      <c r="R3" s="24">
        <v>210</v>
      </c>
      <c r="S3" s="39"/>
      <c r="T3" s="39"/>
      <c r="U3" s="39"/>
      <c r="V3" s="39"/>
      <c r="W3" s="39"/>
      <c r="X3" s="40">
        <v>45758</v>
      </c>
      <c r="Y3" s="24"/>
      <c r="Z3" s="47" t="s">
        <v>71</v>
      </c>
    </row>
    <row r="4" spans="1:26" ht="15" customHeight="1">
      <c r="A4" s="24">
        <v>3</v>
      </c>
      <c r="B4" s="24" t="s">
        <v>73</v>
      </c>
      <c r="C4" s="24" t="s">
        <v>70</v>
      </c>
      <c r="D4" s="24">
        <v>1</v>
      </c>
      <c r="E4" s="24">
        <v>295.10000000000002</v>
      </c>
      <c r="F4" s="24">
        <v>12.6</v>
      </c>
      <c r="G4" s="41"/>
      <c r="H4" s="24">
        <v>20</v>
      </c>
      <c r="I4" s="24">
        <v>30</v>
      </c>
      <c r="J4" s="24">
        <v>544</v>
      </c>
      <c r="K4" s="24">
        <v>65.2</v>
      </c>
      <c r="L4" s="24">
        <v>66.3</v>
      </c>
      <c r="M4" s="24">
        <v>64.7</v>
      </c>
      <c r="N4" s="24">
        <v>22.9</v>
      </c>
      <c r="O4" s="24">
        <v>21.8</v>
      </c>
      <c r="P4" s="24">
        <v>9</v>
      </c>
      <c r="Q4" s="24">
        <v>30</v>
      </c>
      <c r="R4" s="24">
        <v>339</v>
      </c>
      <c r="S4" s="39"/>
      <c r="T4" s="39"/>
      <c r="U4" s="39"/>
      <c r="V4" s="39"/>
      <c r="W4" s="39"/>
      <c r="X4" s="40">
        <v>45788</v>
      </c>
      <c r="Y4" s="24"/>
      <c r="Z4" s="47" t="s">
        <v>71</v>
      </c>
    </row>
    <row r="5" spans="1:26" ht="15" customHeight="1">
      <c r="A5" s="42">
        <v>4</v>
      </c>
      <c r="B5" s="24" t="s">
        <v>74</v>
      </c>
      <c r="C5" s="24" t="s">
        <v>70</v>
      </c>
      <c r="D5" s="24">
        <v>1</v>
      </c>
      <c r="E5" s="24">
        <v>295.10000000000002</v>
      </c>
      <c r="F5" s="24">
        <v>12.6</v>
      </c>
      <c r="G5" s="41"/>
      <c r="H5" s="24">
        <v>30</v>
      </c>
      <c r="I5" s="24">
        <v>30</v>
      </c>
      <c r="J5" s="24">
        <v>543</v>
      </c>
      <c r="K5" s="24">
        <v>61.2</v>
      </c>
      <c r="L5" s="24">
        <v>62.3</v>
      </c>
      <c r="M5" s="24">
        <v>60.7</v>
      </c>
      <c r="N5" s="24">
        <v>8.3000000000000007</v>
      </c>
      <c r="O5" s="24">
        <v>14.1</v>
      </c>
      <c r="P5" s="24">
        <v>7</v>
      </c>
      <c r="Q5" s="24">
        <v>54</v>
      </c>
      <c r="R5" s="24">
        <v>171</v>
      </c>
      <c r="S5" s="39"/>
      <c r="T5" s="39"/>
      <c r="U5" s="39"/>
      <c r="V5" s="39"/>
      <c r="W5" s="39"/>
      <c r="X5" s="40" t="s">
        <v>75</v>
      </c>
      <c r="Y5" s="42" t="s">
        <v>76</v>
      </c>
      <c r="Z5" s="47" t="s">
        <v>71</v>
      </c>
    </row>
    <row r="6" spans="1:26" ht="15" customHeight="1">
      <c r="A6" s="42">
        <v>4</v>
      </c>
      <c r="B6" s="24" t="s">
        <v>74</v>
      </c>
      <c r="C6" s="24" t="s">
        <v>70</v>
      </c>
      <c r="D6" s="24">
        <v>2</v>
      </c>
      <c r="E6" s="24">
        <v>295.10000000000002</v>
      </c>
      <c r="F6" s="24">
        <v>12.6</v>
      </c>
      <c r="G6" s="41"/>
      <c r="H6" s="24">
        <v>20</v>
      </c>
      <c r="I6" s="24">
        <v>30</v>
      </c>
      <c r="J6" s="24">
        <v>483</v>
      </c>
      <c r="K6" s="24">
        <v>61.2</v>
      </c>
      <c r="L6" s="24">
        <v>60.8</v>
      </c>
      <c r="M6" s="24">
        <v>59.2</v>
      </c>
      <c r="N6" s="24">
        <v>2.7</v>
      </c>
      <c r="O6" s="24">
        <v>7.1</v>
      </c>
      <c r="P6" s="24">
        <v>35</v>
      </c>
      <c r="Q6" s="24">
        <v>55</v>
      </c>
      <c r="R6" s="24">
        <v>93</v>
      </c>
      <c r="S6" s="39"/>
      <c r="T6" s="39"/>
      <c r="U6" s="39"/>
      <c r="V6" s="39"/>
      <c r="W6" s="39"/>
      <c r="X6" s="40" t="s">
        <v>75</v>
      </c>
      <c r="Y6" s="42" t="s">
        <v>76</v>
      </c>
      <c r="Z6" s="47" t="s">
        <v>71</v>
      </c>
    </row>
    <row r="7" spans="1:26" ht="15" customHeight="1">
      <c r="A7" s="24">
        <v>4</v>
      </c>
      <c r="B7" s="24" t="s">
        <v>74</v>
      </c>
      <c r="C7" s="24" t="s">
        <v>70</v>
      </c>
      <c r="D7" s="24">
        <v>3</v>
      </c>
      <c r="E7" s="24">
        <v>295.10000000000002</v>
      </c>
      <c r="F7" s="24">
        <v>12.6</v>
      </c>
      <c r="G7" s="41"/>
      <c r="H7" s="24">
        <v>30</v>
      </c>
      <c r="I7" s="24">
        <v>30</v>
      </c>
      <c r="J7" s="24">
        <v>517</v>
      </c>
      <c r="K7" s="24">
        <v>67.2</v>
      </c>
      <c r="L7" s="24">
        <v>67.599999999999994</v>
      </c>
      <c r="M7" s="24">
        <v>66.2</v>
      </c>
      <c r="N7" s="24">
        <v>7.5</v>
      </c>
      <c r="O7" s="24">
        <v>12.7</v>
      </c>
      <c r="P7" s="24">
        <v>5</v>
      </c>
      <c r="Q7" s="24">
        <v>57</v>
      </c>
      <c r="R7" s="24">
        <v>160</v>
      </c>
      <c r="S7" s="39"/>
      <c r="T7" s="39"/>
      <c r="U7" s="39"/>
      <c r="V7" s="39"/>
      <c r="W7" s="39"/>
      <c r="X7" s="40" t="s">
        <v>77</v>
      </c>
      <c r="Y7" s="46"/>
      <c r="Z7" s="47" t="s">
        <v>71</v>
      </c>
    </row>
    <row r="8" spans="1:26" ht="15" customHeight="1">
      <c r="A8" s="24">
        <v>5</v>
      </c>
      <c r="B8" s="24" t="s">
        <v>78</v>
      </c>
      <c r="C8" s="24" t="s">
        <v>70</v>
      </c>
      <c r="D8" s="24">
        <v>1</v>
      </c>
      <c r="E8" s="24">
        <v>295.10000000000002</v>
      </c>
      <c r="F8" s="24">
        <v>12.6</v>
      </c>
      <c r="G8" s="41"/>
      <c r="H8" s="24">
        <v>40</v>
      </c>
      <c r="I8" s="24">
        <v>30</v>
      </c>
      <c r="J8" s="24">
        <v>513</v>
      </c>
      <c r="K8" s="24">
        <v>68</v>
      </c>
      <c r="L8" s="24">
        <v>68.3</v>
      </c>
      <c r="M8" s="24">
        <v>66.7</v>
      </c>
      <c r="N8" s="24">
        <v>24</v>
      </c>
      <c r="O8" s="24">
        <v>25.9</v>
      </c>
      <c r="P8" s="24">
        <v>0</v>
      </c>
      <c r="Q8" s="24">
        <v>27</v>
      </c>
      <c r="R8" s="24">
        <v>355</v>
      </c>
      <c r="S8" s="39"/>
      <c r="T8" s="39"/>
      <c r="U8" s="39"/>
      <c r="V8" s="39"/>
      <c r="W8" s="39"/>
      <c r="X8" s="40" t="s">
        <v>75</v>
      </c>
      <c r="Y8" s="24"/>
      <c r="Z8" s="47" t="s">
        <v>71</v>
      </c>
    </row>
    <row r="9" spans="1:26" ht="15" customHeight="1">
      <c r="A9" s="24">
        <v>1</v>
      </c>
      <c r="B9" s="24" t="s">
        <v>8</v>
      </c>
      <c r="C9" s="24" t="s">
        <v>79</v>
      </c>
      <c r="D9" s="24">
        <v>1</v>
      </c>
      <c r="E9" s="24">
        <v>80</v>
      </c>
      <c r="F9" s="24">
        <v>12.6</v>
      </c>
      <c r="G9" s="24">
        <v>450</v>
      </c>
      <c r="H9" s="24">
        <v>50</v>
      </c>
      <c r="I9" s="39"/>
      <c r="J9" s="39"/>
      <c r="K9" s="39"/>
      <c r="L9" s="39"/>
      <c r="M9" s="39"/>
      <c r="N9" s="39"/>
      <c r="O9" s="39"/>
      <c r="P9" s="39"/>
      <c r="Q9" s="39"/>
      <c r="R9" s="39"/>
      <c r="S9" s="24">
        <v>1.5</v>
      </c>
      <c r="T9" s="24" t="s">
        <v>80</v>
      </c>
      <c r="U9" s="24">
        <v>60.1</v>
      </c>
      <c r="V9" s="24">
        <v>87.3</v>
      </c>
      <c r="W9" s="24">
        <v>871</v>
      </c>
      <c r="X9" s="40" t="s">
        <v>75</v>
      </c>
      <c r="Y9" s="24"/>
      <c r="Z9" s="47" t="s">
        <v>81</v>
      </c>
    </row>
    <row r="10" spans="1:26" ht="15" customHeight="1">
      <c r="A10" s="24">
        <v>1</v>
      </c>
      <c r="B10" s="24" t="s">
        <v>82</v>
      </c>
      <c r="C10" s="24" t="s">
        <v>79</v>
      </c>
      <c r="D10" s="24">
        <v>1</v>
      </c>
      <c r="E10" s="24">
        <v>80</v>
      </c>
      <c r="F10" s="24">
        <v>12.8</v>
      </c>
      <c r="G10" s="24">
        <v>450</v>
      </c>
      <c r="H10" s="24">
        <v>50</v>
      </c>
      <c r="I10" s="39"/>
      <c r="J10" s="39"/>
      <c r="K10" s="39"/>
      <c r="L10" s="39"/>
      <c r="M10" s="39"/>
      <c r="N10" s="39"/>
      <c r="O10" s="39"/>
      <c r="P10" s="39"/>
      <c r="Q10" s="39"/>
      <c r="R10" s="39"/>
      <c r="S10" s="24">
        <v>1.5</v>
      </c>
      <c r="T10" s="24" t="s">
        <v>83</v>
      </c>
      <c r="U10" s="24">
        <v>60.3</v>
      </c>
      <c r="V10" s="24">
        <v>90.1</v>
      </c>
      <c r="W10" s="24">
        <v>1178</v>
      </c>
      <c r="X10" s="40" t="s">
        <v>75</v>
      </c>
      <c r="Y10" s="24"/>
      <c r="Z10" s="47" t="s">
        <v>81</v>
      </c>
    </row>
    <row r="11" spans="1:26" ht="15" customHeight="1">
      <c r="A11" s="24">
        <v>2</v>
      </c>
      <c r="B11" s="24" t="s">
        <v>72</v>
      </c>
      <c r="C11" s="24" t="s">
        <v>79</v>
      </c>
      <c r="D11" s="24">
        <v>1</v>
      </c>
      <c r="E11" s="24">
        <v>80</v>
      </c>
      <c r="F11" s="24">
        <v>12.6</v>
      </c>
      <c r="G11" s="24">
        <v>450</v>
      </c>
      <c r="H11" s="24">
        <v>50</v>
      </c>
      <c r="I11" s="39"/>
      <c r="J11" s="39"/>
      <c r="K11" s="39"/>
      <c r="L11" s="39"/>
      <c r="M11" s="39"/>
      <c r="N11" s="39"/>
      <c r="O11" s="39"/>
      <c r="P11" s="39"/>
      <c r="Q11" s="39"/>
      <c r="R11" s="39"/>
      <c r="S11" s="24">
        <v>1.5</v>
      </c>
      <c r="T11" s="24" t="s">
        <v>80</v>
      </c>
      <c r="U11" s="24">
        <v>61.6</v>
      </c>
      <c r="V11" s="24">
        <v>82.4</v>
      </c>
      <c r="W11" s="24">
        <v>441</v>
      </c>
      <c r="X11" s="40" t="s">
        <v>75</v>
      </c>
      <c r="Y11" s="46"/>
      <c r="Z11" s="47" t="s">
        <v>81</v>
      </c>
    </row>
    <row r="12" spans="1:26" ht="15" customHeight="1">
      <c r="A12" s="24">
        <v>3</v>
      </c>
      <c r="B12" s="24" t="s">
        <v>73</v>
      </c>
      <c r="C12" s="24" t="s">
        <v>79</v>
      </c>
      <c r="D12" s="24">
        <v>1</v>
      </c>
      <c r="E12" s="24">
        <v>80</v>
      </c>
      <c r="F12" s="24">
        <v>12.6</v>
      </c>
      <c r="G12" s="24">
        <v>450</v>
      </c>
      <c r="H12" s="24">
        <v>50</v>
      </c>
      <c r="I12" s="39"/>
      <c r="J12" s="39"/>
      <c r="K12" s="39"/>
      <c r="L12" s="39"/>
      <c r="M12" s="39"/>
      <c r="N12" s="39"/>
      <c r="O12" s="39"/>
      <c r="P12" s="39"/>
      <c r="Q12" s="39"/>
      <c r="R12" s="39"/>
      <c r="S12" s="24">
        <v>1.5</v>
      </c>
      <c r="T12" s="24" t="s">
        <v>83</v>
      </c>
      <c r="U12" s="24">
        <v>61.5</v>
      </c>
      <c r="V12" s="24">
        <v>77.3</v>
      </c>
      <c r="W12" s="24">
        <v>192</v>
      </c>
      <c r="X12" s="40" t="s">
        <v>84</v>
      </c>
      <c r="Y12" s="46" t="s">
        <v>85</v>
      </c>
      <c r="Z12" s="47" t="s">
        <v>81</v>
      </c>
    </row>
    <row r="13" spans="1:26" ht="15" customHeight="1">
      <c r="A13" s="24">
        <v>4</v>
      </c>
      <c r="B13" s="24" t="s">
        <v>74</v>
      </c>
      <c r="C13" s="24" t="s">
        <v>79</v>
      </c>
      <c r="D13" s="24">
        <v>1</v>
      </c>
      <c r="E13" s="24">
        <v>80</v>
      </c>
      <c r="F13" s="24">
        <v>12.6</v>
      </c>
      <c r="G13" s="24">
        <v>450</v>
      </c>
      <c r="H13" s="24">
        <v>50</v>
      </c>
      <c r="I13" s="39"/>
      <c r="J13" s="39"/>
      <c r="K13" s="39"/>
      <c r="L13" s="39"/>
      <c r="M13" s="39"/>
      <c r="N13" s="39"/>
      <c r="O13" s="39"/>
      <c r="P13" s="39"/>
      <c r="Q13" s="39"/>
      <c r="R13" s="39"/>
      <c r="S13" s="24">
        <v>1.5</v>
      </c>
      <c r="T13" s="24" t="s">
        <v>83</v>
      </c>
      <c r="U13" s="24">
        <v>61.5</v>
      </c>
      <c r="V13" s="24">
        <v>84.5</v>
      </c>
      <c r="W13" s="24">
        <v>499</v>
      </c>
      <c r="X13" s="24" t="s">
        <v>86</v>
      </c>
      <c r="Y13" s="46" t="s">
        <v>87</v>
      </c>
      <c r="Z13" s="47" t="s">
        <v>81</v>
      </c>
    </row>
    <row r="14" spans="1:26" ht="15" customHeight="1">
      <c r="A14" s="24">
        <v>5</v>
      </c>
      <c r="B14" s="24" t="s">
        <v>78</v>
      </c>
      <c r="C14" s="24" t="s">
        <v>79</v>
      </c>
      <c r="D14" s="24">
        <v>1</v>
      </c>
      <c r="E14" s="24">
        <v>80</v>
      </c>
      <c r="F14" s="24">
        <v>12.8</v>
      </c>
      <c r="G14" s="24">
        <v>450</v>
      </c>
      <c r="H14" s="24">
        <v>50</v>
      </c>
      <c r="I14" s="39"/>
      <c r="J14" s="39"/>
      <c r="K14" s="39"/>
      <c r="L14" s="39"/>
      <c r="M14" s="39"/>
      <c r="N14" s="39"/>
      <c r="O14" s="39"/>
      <c r="P14" s="39"/>
      <c r="Q14" s="39"/>
      <c r="R14" s="39"/>
      <c r="S14" s="24">
        <v>1.5</v>
      </c>
      <c r="T14" s="24" t="s">
        <v>83</v>
      </c>
      <c r="U14" s="24">
        <v>61</v>
      </c>
      <c r="V14" s="24">
        <v>81.599999999999994</v>
      </c>
      <c r="W14" s="24">
        <v>335</v>
      </c>
      <c r="X14" s="24" t="s">
        <v>86</v>
      </c>
      <c r="Y14" s="46" t="s">
        <v>88</v>
      </c>
      <c r="Z14" s="47" t="s">
        <v>81</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88BC0-13D3-4E8F-98CF-61E01690D857}">
  <dimension ref="A1:M8"/>
  <sheetViews>
    <sheetView showGridLines="0" workbookViewId="0">
      <selection activeCell="K7" sqref="K7"/>
    </sheetView>
  </sheetViews>
  <sheetFormatPr defaultRowHeight="15" customHeight="1"/>
  <cols>
    <col min="1" max="1" width="18.42578125" customWidth="1"/>
    <col min="2" max="2" width="7.5703125" customWidth="1"/>
    <col min="3" max="3" width="11.140625" customWidth="1"/>
    <col min="4" max="4" width="7.42578125" customWidth="1"/>
    <col min="5" max="5" width="6.42578125" customWidth="1"/>
    <col min="6" max="6" width="7.140625" customWidth="1"/>
    <col min="7" max="7" width="8.28515625" customWidth="1"/>
    <col min="8" max="8" width="9" customWidth="1"/>
    <col min="9" max="9" width="10.7109375" customWidth="1"/>
    <col min="10" max="10" width="10.42578125" customWidth="1"/>
    <col min="11" max="11" width="13.140625" customWidth="1"/>
    <col min="12" max="12" width="11.42578125" bestFit="1" customWidth="1"/>
    <col min="13" max="13" width="51.42578125" customWidth="1"/>
  </cols>
  <sheetData>
    <row r="1" spans="1:13">
      <c r="A1" s="25"/>
      <c r="B1" s="135" t="s">
        <v>89</v>
      </c>
      <c r="C1" s="135"/>
      <c r="D1" s="135"/>
      <c r="E1" s="135"/>
      <c r="F1" s="135"/>
      <c r="G1" s="135"/>
      <c r="H1" s="136" t="s">
        <v>90</v>
      </c>
      <c r="I1" s="137"/>
      <c r="J1" s="137"/>
      <c r="K1" s="137"/>
      <c r="L1" s="138"/>
      <c r="M1" s="139"/>
    </row>
    <row r="2" spans="1:13" ht="28.5" customHeight="1">
      <c r="A2" s="26" t="s">
        <v>91</v>
      </c>
      <c r="B2" s="22" t="s">
        <v>92</v>
      </c>
      <c r="C2" s="27" t="s">
        <v>93</v>
      </c>
      <c r="D2" s="22" t="s">
        <v>94</v>
      </c>
      <c r="E2" s="22" t="s">
        <v>95</v>
      </c>
      <c r="F2" s="22" t="s">
        <v>96</v>
      </c>
      <c r="G2" s="22" t="s">
        <v>97</v>
      </c>
      <c r="H2" s="28" t="s">
        <v>98</v>
      </c>
      <c r="I2" s="29" t="s">
        <v>99</v>
      </c>
      <c r="J2" s="29" t="s">
        <v>100</v>
      </c>
      <c r="K2" s="30" t="s">
        <v>101</v>
      </c>
      <c r="L2" s="31" t="s">
        <v>38</v>
      </c>
      <c r="M2" s="32" t="s">
        <v>39</v>
      </c>
    </row>
    <row r="3" spans="1:13">
      <c r="A3" s="33" t="s">
        <v>8</v>
      </c>
      <c r="B3" s="24">
        <v>250</v>
      </c>
      <c r="C3" s="24">
        <v>0</v>
      </c>
      <c r="D3" s="24">
        <v>10</v>
      </c>
      <c r="E3" s="24">
        <v>5</v>
      </c>
      <c r="F3" s="24">
        <v>2.5</v>
      </c>
      <c r="G3" s="24">
        <v>162</v>
      </c>
      <c r="H3" s="34">
        <v>411.7</v>
      </c>
      <c r="I3" s="24">
        <v>353.5</v>
      </c>
      <c r="J3" s="24">
        <v>925</v>
      </c>
      <c r="K3" s="124">
        <f>10.5/11</f>
        <v>0.95454545454545459</v>
      </c>
      <c r="L3" s="34" t="s">
        <v>86</v>
      </c>
      <c r="M3" s="48"/>
    </row>
    <row r="4" spans="1:13">
      <c r="A4" s="33" t="s">
        <v>72</v>
      </c>
      <c r="B4" s="24">
        <v>250</v>
      </c>
      <c r="C4" s="24">
        <v>10</v>
      </c>
      <c r="D4" s="24">
        <v>10</v>
      </c>
      <c r="E4" s="24">
        <v>5</v>
      </c>
      <c r="F4" s="24">
        <v>2.5</v>
      </c>
      <c r="G4" s="24">
        <v>165</v>
      </c>
      <c r="H4" s="34">
        <v>417.2</v>
      </c>
      <c r="I4" s="24">
        <v>362.6</v>
      </c>
      <c r="J4" s="24">
        <v>775</v>
      </c>
      <c r="K4" s="124">
        <f>9.8/10.2</f>
        <v>0.96078431372549034</v>
      </c>
      <c r="L4" s="34" t="s">
        <v>86</v>
      </c>
      <c r="M4" s="48"/>
    </row>
    <row r="5" spans="1:13">
      <c r="A5" s="33" t="s">
        <v>73</v>
      </c>
      <c r="B5" s="24">
        <v>250</v>
      </c>
      <c r="C5" s="24">
        <v>20</v>
      </c>
      <c r="D5" s="24">
        <v>10</v>
      </c>
      <c r="E5" s="24">
        <v>5</v>
      </c>
      <c r="F5" s="24">
        <v>2.5</v>
      </c>
      <c r="G5" s="24">
        <v>180</v>
      </c>
      <c r="H5" s="34">
        <v>432.8</v>
      </c>
      <c r="I5" s="24">
        <v>375.2</v>
      </c>
      <c r="J5" s="24">
        <v>680</v>
      </c>
      <c r="K5" s="124">
        <f>9/10.3</f>
        <v>0.87378640776699024</v>
      </c>
      <c r="L5" s="34" t="s">
        <v>86</v>
      </c>
      <c r="M5" s="48"/>
    </row>
    <row r="6" spans="1:13">
      <c r="A6" s="33" t="s">
        <v>74</v>
      </c>
      <c r="B6" s="24">
        <v>250</v>
      </c>
      <c r="C6" s="24">
        <v>10</v>
      </c>
      <c r="D6" s="24">
        <v>10</v>
      </c>
      <c r="E6" s="24">
        <v>5</v>
      </c>
      <c r="F6" s="24">
        <v>2.5</v>
      </c>
      <c r="G6" s="24">
        <v>175</v>
      </c>
      <c r="H6" s="34">
        <v>416</v>
      </c>
      <c r="I6" s="24">
        <v>357.6</v>
      </c>
      <c r="J6" s="24">
        <v>825</v>
      </c>
      <c r="K6" s="124">
        <f>10/10.4</f>
        <v>0.96153846153846145</v>
      </c>
      <c r="L6" s="34" t="s">
        <v>86</v>
      </c>
      <c r="M6" s="48"/>
    </row>
    <row r="7" spans="1:13">
      <c r="A7" s="35" t="s">
        <v>78</v>
      </c>
      <c r="B7" s="36">
        <v>250</v>
      </c>
      <c r="C7" s="36">
        <v>20</v>
      </c>
      <c r="D7" s="36">
        <v>10</v>
      </c>
      <c r="E7" s="36">
        <v>5</v>
      </c>
      <c r="F7" s="36">
        <v>2.5</v>
      </c>
      <c r="G7" s="36">
        <v>190</v>
      </c>
      <c r="H7" s="37">
        <v>437.3</v>
      </c>
      <c r="I7" s="36">
        <v>374.8</v>
      </c>
      <c r="J7" s="36">
        <v>725</v>
      </c>
      <c r="K7" s="125">
        <f>9/10.1</f>
        <v>0.8910891089108911</v>
      </c>
      <c r="L7" s="37" t="s">
        <v>86</v>
      </c>
      <c r="M7" s="49"/>
    </row>
    <row r="8" spans="1:13"/>
  </sheetData>
  <mergeCells count="3">
    <mergeCell ref="B1:G1"/>
    <mergeCell ref="H1:K1"/>
    <mergeCell ref="L1:M1"/>
  </mergeCell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815781-66CB-425F-B1E1-666FB6ACE090}">
  <dimension ref="A1:P26"/>
  <sheetViews>
    <sheetView showGridLines="0" zoomScale="85" zoomScaleNormal="85" workbookViewId="0">
      <pane xSplit="2" ySplit="1" topLeftCell="C3" activePane="bottomRight" state="frozen"/>
      <selection pane="bottomRight" activeCell="P16" sqref="P16"/>
      <selection pane="bottomLeft"/>
      <selection pane="topRight"/>
    </sheetView>
  </sheetViews>
  <sheetFormatPr defaultColWidth="8.7109375" defaultRowHeight="15" customHeight="1"/>
  <cols>
    <col min="1" max="1" width="5.5703125" style="10" customWidth="1"/>
    <col min="2" max="2" width="26.5703125" style="10" customWidth="1"/>
    <col min="3" max="3" width="24.140625" style="10" customWidth="1"/>
    <col min="4" max="4" width="12.5703125" style="10" customWidth="1"/>
    <col min="5" max="5" width="9.140625" style="10" customWidth="1"/>
    <col min="6" max="6" width="9.85546875" style="10" customWidth="1"/>
    <col min="7" max="7" width="13.5703125" style="10" customWidth="1"/>
    <col min="8" max="8" width="11.85546875" style="10" customWidth="1"/>
    <col min="9" max="9" width="12.42578125" style="10" customWidth="1"/>
    <col min="10" max="11" width="11.140625" style="10" customWidth="1"/>
    <col min="12" max="12" width="8.85546875" style="10" customWidth="1"/>
    <col min="13" max="13" width="12.7109375" style="10" customWidth="1"/>
    <col min="14" max="14" width="16.140625" style="10" customWidth="1"/>
    <col min="15" max="15" width="11.28515625" style="10" customWidth="1"/>
    <col min="16" max="16" width="18" style="10" customWidth="1"/>
    <col min="17" max="18" width="9.140625" style="10"/>
    <col min="19" max="22" width="8.7109375" style="10" customWidth="1"/>
    <col min="23" max="16384" width="8.7109375" style="10"/>
  </cols>
  <sheetData>
    <row r="1" spans="1:16" s="17" customFormat="1" ht="42.75" customHeight="1">
      <c r="A1" s="17" t="s">
        <v>25</v>
      </c>
      <c r="B1" s="17" t="s">
        <v>26</v>
      </c>
      <c r="C1" s="17" t="s">
        <v>3</v>
      </c>
      <c r="D1" s="17" t="s">
        <v>2</v>
      </c>
      <c r="E1" s="17" t="s">
        <v>27</v>
      </c>
      <c r="F1" s="17" t="s">
        <v>28</v>
      </c>
      <c r="G1" s="17" t="s">
        <v>29</v>
      </c>
      <c r="H1" s="17" t="s">
        <v>30</v>
      </c>
      <c r="I1" s="17" t="s">
        <v>31</v>
      </c>
      <c r="J1" s="17" t="s">
        <v>33</v>
      </c>
      <c r="K1" s="17" t="s">
        <v>34</v>
      </c>
      <c r="L1" s="17" t="s">
        <v>102</v>
      </c>
      <c r="M1" s="17" t="s">
        <v>35</v>
      </c>
      <c r="N1" s="17" t="s">
        <v>36</v>
      </c>
      <c r="O1" s="17" t="s">
        <v>38</v>
      </c>
      <c r="P1" s="17" t="s">
        <v>39</v>
      </c>
    </row>
    <row r="2" spans="1:16">
      <c r="A2" s="10">
        <v>1</v>
      </c>
      <c r="B2" s="10" t="str">
        <f>_xlfn.CONCAT(C2,"_",D2,"_",E2)</f>
        <v>Flour_Moisture_1</v>
      </c>
      <c r="C2" s="10" t="s">
        <v>8</v>
      </c>
      <c r="D2" s="10" t="s">
        <v>7</v>
      </c>
      <c r="E2" s="10">
        <v>1</v>
      </c>
      <c r="F2" s="10">
        <v>485</v>
      </c>
      <c r="G2" s="10">
        <v>5.0049999999999999</v>
      </c>
      <c r="H2" s="11">
        <f>SUM(_xlfn.XLOOKUP(Table27[[#This Row],[Recipient number]],Extra_RecipientsWeight!A:A,Extra_RecipientsWeight!B:B)+G2)</f>
        <v>31.951599999999999</v>
      </c>
      <c r="I2" s="10">
        <v>31.4846</v>
      </c>
      <c r="J2" s="50">
        <f>(Table27[[#This Row],[Incial Weight (g)]]-Table27[[#This Row],[Final Weight (g)]])/Table27[[#This Row],[Sample Weight (g)]]</f>
        <v>9.3306693306693056E-2</v>
      </c>
      <c r="K2" s="51">
        <f t="shared" ref="K2:K6" si="0">1-J2</f>
        <v>0.90669330669330694</v>
      </c>
      <c r="L2" s="15"/>
      <c r="M2" s="12"/>
      <c r="N2" s="12"/>
      <c r="O2" s="13" t="s">
        <v>86</v>
      </c>
      <c r="P2" s="11"/>
    </row>
    <row r="3" spans="1:16">
      <c r="A3" s="10">
        <v>2</v>
      </c>
      <c r="B3" s="10" t="str">
        <f t="shared" ref="B3:B26" si="1">_xlfn.CONCAT(C3,"_",D3,"_",E3)</f>
        <v>10% BSG_Moisture_1</v>
      </c>
      <c r="C3" s="54" t="s">
        <v>11</v>
      </c>
      <c r="D3" s="10" t="s">
        <v>7</v>
      </c>
      <c r="E3" s="10">
        <v>1</v>
      </c>
      <c r="F3" s="10">
        <v>566</v>
      </c>
      <c r="G3" s="11">
        <v>5.0099</v>
      </c>
      <c r="H3" s="11">
        <f>SUM(_xlfn.XLOOKUP(Table27[[#This Row],[Recipient number]],Extra_RecipientsWeight!A:A,Extra_RecipientsWeight!B:B)+G3)</f>
        <v>27.677599999999998</v>
      </c>
      <c r="I3" s="11">
        <v>27.2255</v>
      </c>
      <c r="J3" s="50">
        <f>(Table27[[#This Row],[Incial Weight (g)]]-Table27[[#This Row],[Final Weight (g)]])/Table27[[#This Row],[Sample Weight (g)]]</f>
        <v>9.0241322182079073E-2</v>
      </c>
      <c r="K3" s="51">
        <f t="shared" si="0"/>
        <v>0.90975867781792097</v>
      </c>
      <c r="L3" s="15"/>
      <c r="M3" s="15"/>
      <c r="N3" s="15"/>
      <c r="O3" s="13" t="s">
        <v>86</v>
      </c>
      <c r="P3" s="11"/>
    </row>
    <row r="4" spans="1:16">
      <c r="A4" s="10">
        <v>3</v>
      </c>
      <c r="B4" s="10" t="str">
        <f>_xlfn.CONCAT(C4,"_",D4,"_",E4)</f>
        <v>20% BSG _Moisture_1</v>
      </c>
      <c r="C4" s="10" t="s">
        <v>13</v>
      </c>
      <c r="D4" s="10" t="s">
        <v>7</v>
      </c>
      <c r="E4" s="10">
        <v>1</v>
      </c>
      <c r="F4" s="10">
        <v>462</v>
      </c>
      <c r="G4" s="11">
        <v>5.0079000000000002</v>
      </c>
      <c r="H4" s="10">
        <f>SUM(_xlfn.XLOOKUP(Table27[[#This Row],[Recipient number]],Extra_RecipientsWeight!A:A,Extra_RecipientsWeight!B:B)+G4)</f>
        <v>32.733899999999998</v>
      </c>
      <c r="I4" s="11">
        <v>32.290799999999997</v>
      </c>
      <c r="J4" s="50">
        <f>(Table27[[#This Row],[Incial Weight (g)]]-Table27[[#This Row],[Final Weight (g)]])/Table27[[#This Row],[Sample Weight (g)]]</f>
        <v>8.8480201281974702E-2</v>
      </c>
      <c r="K4" s="51">
        <f>1-J4</f>
        <v>0.91151979871802524</v>
      </c>
      <c r="L4" s="12"/>
      <c r="M4" s="12"/>
      <c r="N4" s="16"/>
      <c r="O4" s="13" t="s">
        <v>86</v>
      </c>
      <c r="P4" s="11"/>
    </row>
    <row r="5" spans="1:16">
      <c r="A5" s="10">
        <v>4</v>
      </c>
      <c r="B5" s="10" t="str">
        <f t="shared" si="1"/>
        <v>10% BSG+E_Moisture_1</v>
      </c>
      <c r="C5" s="10" t="s">
        <v>15</v>
      </c>
      <c r="D5" s="10" t="s">
        <v>7</v>
      </c>
      <c r="E5" s="10">
        <v>1</v>
      </c>
      <c r="F5" s="10">
        <v>352.1</v>
      </c>
      <c r="G5" s="11">
        <v>5.0049000000000001</v>
      </c>
      <c r="H5" s="11">
        <f>SUM(_xlfn.XLOOKUP(Table27[[#This Row],[Recipient number]],Extra_RecipientsWeight!A:A,Extra_RecipientsWeight!B:B)+G5)</f>
        <v>28.095099999999999</v>
      </c>
      <c r="I5" s="11">
        <v>27.650700000000001</v>
      </c>
      <c r="J5" s="50">
        <f>(Table27[[#This Row],[Incial Weight (g)]]-Table27[[#This Row],[Final Weight (g)]])/Table27[[#This Row],[Sample Weight (g)]]</f>
        <v>8.8792982876780377E-2</v>
      </c>
      <c r="K5" s="51">
        <f t="shared" si="0"/>
        <v>0.91120701712321961</v>
      </c>
      <c r="L5" s="15"/>
      <c r="M5" s="15"/>
      <c r="N5" s="15"/>
      <c r="O5" s="13" t="s">
        <v>86</v>
      </c>
      <c r="P5" s="11"/>
    </row>
    <row r="6" spans="1:16">
      <c r="A6" s="10">
        <v>5</v>
      </c>
      <c r="B6" s="10" t="str">
        <f t="shared" si="1"/>
        <v>20% BSG+E_Moisture_1</v>
      </c>
      <c r="C6" s="10" t="s">
        <v>18</v>
      </c>
      <c r="D6" s="10" t="s">
        <v>7</v>
      </c>
      <c r="E6" s="10">
        <v>1</v>
      </c>
      <c r="F6" s="10">
        <v>440</v>
      </c>
      <c r="G6" s="11">
        <v>5.0099</v>
      </c>
      <c r="H6" s="11">
        <f>SUM(_xlfn.XLOOKUP(Table27[[#This Row],[Recipient number]],Extra_RecipientsWeight!A:A,Extra_RecipientsWeight!B:B)+G6)</f>
        <v>31.972200000000001</v>
      </c>
      <c r="I6" s="11">
        <v>31.532599999999999</v>
      </c>
      <c r="J6" s="50">
        <f>(Table27[[#This Row],[Incial Weight (g)]]-Table27[[#This Row],[Final Weight (g)]])/Table27[[#This Row],[Sample Weight (g)]]</f>
        <v>8.7746262400447556E-2</v>
      </c>
      <c r="K6" s="51">
        <f t="shared" si="0"/>
        <v>0.91225373759955242</v>
      </c>
      <c r="L6" s="15"/>
      <c r="M6" s="15"/>
      <c r="N6" s="15"/>
      <c r="O6" s="13" t="s">
        <v>86</v>
      </c>
      <c r="P6" s="11"/>
    </row>
    <row r="7" spans="1:16" ht="16.5" customHeight="1">
      <c r="A7" s="10">
        <v>6</v>
      </c>
      <c r="B7" s="10" t="str">
        <f t="shared" si="1"/>
        <v>Flour_Ash_1</v>
      </c>
      <c r="C7" s="10" t="s">
        <v>8</v>
      </c>
      <c r="D7" s="10" t="s">
        <v>17</v>
      </c>
      <c r="E7" s="10">
        <v>1</v>
      </c>
      <c r="F7" s="10">
        <v>14.1</v>
      </c>
      <c r="G7" s="11">
        <v>3.0053000000000001</v>
      </c>
      <c r="H7" s="11">
        <f>SUM(_xlfn.XLOOKUP(Table27[[#This Row],[Recipient number]],Extra_RecipientsWeight!A:A,Extra_RecipientsWeight!B:B)+G7)</f>
        <v>23.078800000000001</v>
      </c>
      <c r="I7" s="11">
        <v>20.089700000000001</v>
      </c>
      <c r="J7" s="15"/>
      <c r="K7" s="15"/>
      <c r="L7" s="44">
        <f>(Table27[[#This Row],[Sample Weight (g)]]-(Table27[[#This Row],[Incial Weight (g)]]-Table27[[#This Row],[Final Weight (g)]]))/Table27[[#This Row],[Sample Weight (g)]]</f>
        <v>5.39047682427696E-3</v>
      </c>
      <c r="M7" s="23" t="s">
        <v>40</v>
      </c>
      <c r="N7" s="43"/>
      <c r="O7" s="13" t="s">
        <v>86</v>
      </c>
      <c r="P7" s="11" t="s">
        <v>103</v>
      </c>
    </row>
    <row r="8" spans="1:16">
      <c r="A8" s="10">
        <v>7</v>
      </c>
      <c r="B8" s="10" t="str">
        <f t="shared" si="1"/>
        <v>Flour_Ash_2</v>
      </c>
      <c r="C8" s="10" t="s">
        <v>8</v>
      </c>
      <c r="D8" s="10" t="s">
        <v>17</v>
      </c>
      <c r="E8" s="10">
        <v>2</v>
      </c>
      <c r="F8" s="10">
        <v>15.1</v>
      </c>
      <c r="G8" s="11">
        <v>3.0057999999999998</v>
      </c>
      <c r="H8" s="11">
        <f>SUM(_xlfn.XLOOKUP(Table27[[#This Row],[Recipient number]],Extra_RecipientsWeight!A:A,Extra_RecipientsWeight!B:B)+G8)</f>
        <v>22.163900000000002</v>
      </c>
      <c r="I8" s="11">
        <v>19.1769</v>
      </c>
      <c r="J8" s="15"/>
      <c r="K8" s="15"/>
      <c r="L8" s="44">
        <f>(Table27[[#This Row],[Sample Weight (g)]]-(Table27[[#This Row],[Incial Weight (g)]]-Table27[[#This Row],[Final Weight (g)]]))/Table27[[#This Row],[Sample Weight (g)]]</f>
        <v>6.2545744893199584E-3</v>
      </c>
      <c r="M8" s="23" t="s">
        <v>40</v>
      </c>
      <c r="N8" s="43"/>
      <c r="O8" s="13" t="s">
        <v>86</v>
      </c>
      <c r="P8" s="11" t="s">
        <v>103</v>
      </c>
    </row>
    <row r="9" spans="1:16">
      <c r="A9" s="10">
        <v>8</v>
      </c>
      <c r="B9" s="10" t="str">
        <f t="shared" si="1"/>
        <v>10% BSG_Ash_1</v>
      </c>
      <c r="C9" s="54" t="s">
        <v>11</v>
      </c>
      <c r="D9" s="10" t="s">
        <v>17</v>
      </c>
      <c r="E9" s="10">
        <v>1</v>
      </c>
      <c r="F9" s="10">
        <v>4.0999999999999996</v>
      </c>
      <c r="G9" s="11">
        <v>3.0074999999999998</v>
      </c>
      <c r="H9" s="11">
        <f>SUM(_xlfn.XLOOKUP(Table27[[#This Row],[Recipient number]],Extra_RecipientsWeight!A:A,Extra_RecipientsWeight!B:B)+G9)</f>
        <v>21.463100000000001</v>
      </c>
      <c r="I9" s="11">
        <v>18.4815</v>
      </c>
      <c r="J9" s="15"/>
      <c r="K9" s="15"/>
      <c r="L9" s="44">
        <f>(Table27[[#This Row],[Sample Weight (g)]]-(Table27[[#This Row],[Incial Weight (g)]]-Table27[[#This Row],[Final Weight (g)]]))/Table27[[#This Row],[Sample Weight (g)]]</f>
        <v>8.6118038237737622E-3</v>
      </c>
      <c r="M9" s="23" t="s">
        <v>40</v>
      </c>
      <c r="N9" s="43"/>
      <c r="O9" s="13" t="s">
        <v>86</v>
      </c>
      <c r="P9" s="11" t="s">
        <v>103</v>
      </c>
    </row>
    <row r="10" spans="1:16">
      <c r="A10" s="10">
        <v>9</v>
      </c>
      <c r="B10" s="10" t="str">
        <f t="shared" si="1"/>
        <v>10% BSG_Ash_2</v>
      </c>
      <c r="C10" s="54" t="s">
        <v>11</v>
      </c>
      <c r="D10" s="10" t="s">
        <v>17</v>
      </c>
      <c r="E10" s="10">
        <v>2</v>
      </c>
      <c r="F10" s="10">
        <v>16</v>
      </c>
      <c r="G10" s="11">
        <v>3.0087999999999999</v>
      </c>
      <c r="H10" s="11">
        <f>SUM(_xlfn.XLOOKUP(Table27[[#This Row],[Recipient number]],Extra_RecipientsWeight!A:A,Extra_RecipientsWeight!B:B)+G10)</f>
        <v>22.067700000000002</v>
      </c>
      <c r="I10" s="11">
        <v>19.086099999999998</v>
      </c>
      <c r="J10" s="15"/>
      <c r="K10" s="15"/>
      <c r="L10" s="44">
        <f>(Table27[[#This Row],[Sample Weight (g)]]-(Table27[[#This Row],[Incial Weight (g)]]-Table27[[#This Row],[Final Weight (g)]]))/Table27[[#This Row],[Sample Weight (g)]]</f>
        <v>9.0401488965687702E-3</v>
      </c>
      <c r="M10" s="23" t="s">
        <v>40</v>
      </c>
      <c r="N10" s="43"/>
      <c r="O10" s="13" t="s">
        <v>86</v>
      </c>
      <c r="P10" s="11" t="s">
        <v>103</v>
      </c>
    </row>
    <row r="11" spans="1:16">
      <c r="A11" s="10">
        <v>10</v>
      </c>
      <c r="B11" s="10" t="str">
        <f t="shared" si="1"/>
        <v>20% BSG _Ash_1</v>
      </c>
      <c r="C11" s="10" t="s">
        <v>13</v>
      </c>
      <c r="D11" s="10" t="s">
        <v>17</v>
      </c>
      <c r="E11" s="10">
        <v>1</v>
      </c>
      <c r="F11" s="10">
        <v>23</v>
      </c>
      <c r="G11" s="11">
        <v>3.0085999999999999</v>
      </c>
      <c r="H11" s="11">
        <f>SUM(_xlfn.XLOOKUP(Table27[[#This Row],[Recipient number]],Extra_RecipientsWeight!A:A,Extra_RecipientsWeight!B:B)+G11)</f>
        <v>23.6828</v>
      </c>
      <c r="I11" s="11">
        <v>20.707100000000001</v>
      </c>
      <c r="J11" s="15"/>
      <c r="K11" s="15"/>
      <c r="L11" s="44">
        <f>(Table27[[#This Row],[Sample Weight (g)]]-(Table27[[#This Row],[Incial Weight (g)]]-Table27[[#This Row],[Final Weight (g)]]))/Table27[[#This Row],[Sample Weight (g)]]</f>
        <v>1.0935318752908379E-2</v>
      </c>
      <c r="M11" s="23" t="s">
        <v>40</v>
      </c>
      <c r="N11" s="43"/>
      <c r="O11" s="13" t="s">
        <v>86</v>
      </c>
      <c r="P11" s="11" t="s">
        <v>103</v>
      </c>
    </row>
    <row r="12" spans="1:16">
      <c r="A12" s="10">
        <v>11</v>
      </c>
      <c r="B12" s="10" t="str">
        <f t="shared" si="1"/>
        <v>20% BSG _Ash_2</v>
      </c>
      <c r="C12" s="10" t="s">
        <v>13</v>
      </c>
      <c r="D12" s="10" t="s">
        <v>17</v>
      </c>
      <c r="E12" s="10">
        <v>2</v>
      </c>
      <c r="F12" s="10">
        <v>22.1</v>
      </c>
      <c r="G12" s="11">
        <v>3.0028000000000001</v>
      </c>
      <c r="H12" s="11">
        <f>SUM(_xlfn.XLOOKUP(Table27[[#This Row],[Recipient number]],Extra_RecipientsWeight!A:A,Extra_RecipientsWeight!B:B)+G12)</f>
        <v>23.125499999999999</v>
      </c>
      <c r="I12" s="11">
        <v>20.153300000000002</v>
      </c>
      <c r="J12" s="15"/>
      <c r="K12" s="15"/>
      <c r="L12" s="44">
        <f>(Table27[[#This Row],[Sample Weight (g)]]-(Table27[[#This Row],[Incial Weight (g)]]-Table27[[#This Row],[Final Weight (g)]]))/Table27[[#This Row],[Sample Weight (g)]]</f>
        <v>1.0190488877049037E-2</v>
      </c>
      <c r="M12" s="23" t="s">
        <v>40</v>
      </c>
      <c r="N12" s="43"/>
      <c r="O12" s="13" t="s">
        <v>86</v>
      </c>
      <c r="P12" s="11" t="s">
        <v>103</v>
      </c>
    </row>
    <row r="13" spans="1:16">
      <c r="A13" s="10">
        <v>12</v>
      </c>
      <c r="B13" s="10" t="str">
        <f t="shared" si="1"/>
        <v>10% BSG+E_Ash_1</v>
      </c>
      <c r="C13" s="10" t="s">
        <v>15</v>
      </c>
      <c r="D13" s="10" t="s">
        <v>17</v>
      </c>
      <c r="E13" s="10">
        <v>1</v>
      </c>
      <c r="F13" s="10">
        <v>3</v>
      </c>
      <c r="G13" s="11">
        <v>3.0188999999999999</v>
      </c>
      <c r="H13" s="11">
        <f>SUM(_xlfn.XLOOKUP(Table27[[#This Row],[Recipient number]],Extra_RecipientsWeight!A:A,Extra_RecipientsWeight!B:B)+G13)</f>
        <v>21.6907</v>
      </c>
      <c r="I13" s="11">
        <v>18.6999</v>
      </c>
      <c r="J13" s="15"/>
      <c r="K13" s="15"/>
      <c r="L13" s="44">
        <f>(Table27[[#This Row],[Sample Weight (g)]]-(Table27[[#This Row],[Incial Weight (g)]]-Table27[[#This Row],[Final Weight (g)]]))/Table27[[#This Row],[Sample Weight (g)]]</f>
        <v>9.3080261022225955E-3</v>
      </c>
      <c r="M13" s="23" t="s">
        <v>40</v>
      </c>
      <c r="N13" s="43"/>
      <c r="O13" s="13" t="s">
        <v>86</v>
      </c>
      <c r="P13" s="11" t="s">
        <v>103</v>
      </c>
    </row>
    <row r="14" spans="1:16">
      <c r="A14" s="10">
        <v>13</v>
      </c>
      <c r="B14" s="10" t="str">
        <f t="shared" si="1"/>
        <v>10% BSG+E_Ash_2</v>
      </c>
      <c r="C14" s="10" t="s">
        <v>15</v>
      </c>
      <c r="D14" s="10" t="s">
        <v>17</v>
      </c>
      <c r="E14" s="10">
        <v>2</v>
      </c>
      <c r="F14" s="10">
        <v>2</v>
      </c>
      <c r="G14" s="11">
        <v>3.0005000000000002</v>
      </c>
      <c r="H14" s="11">
        <f>SUM(_xlfn.XLOOKUP(Table27[[#This Row],[Recipient number]],Extra_RecipientsWeight!A:A,Extra_RecipientsWeight!B:B)+G14)</f>
        <v>19.866399999999999</v>
      </c>
      <c r="I14" s="11">
        <v>16.896999999999998</v>
      </c>
      <c r="J14" s="15"/>
      <c r="K14" s="15"/>
      <c r="L14" s="44">
        <f>(Table27[[#This Row],[Sample Weight (g)]]-(Table27[[#This Row],[Incial Weight (g)]]-Table27[[#This Row],[Final Weight (g)]]))/Table27[[#This Row],[Sample Weight (g)]]</f>
        <v>1.0364939176803834E-2</v>
      </c>
      <c r="M14" s="23" t="s">
        <v>40</v>
      </c>
      <c r="N14" s="43"/>
      <c r="O14" s="13" t="s">
        <v>86</v>
      </c>
      <c r="P14" s="11" t="s">
        <v>103</v>
      </c>
    </row>
    <row r="15" spans="1:16">
      <c r="A15" s="10">
        <v>14</v>
      </c>
      <c r="B15" s="10" t="str">
        <f>_xlfn.CONCAT(C15,"_",D15,"_",E15)</f>
        <v>20% BSG+E_Ash_1</v>
      </c>
      <c r="C15" s="10" t="s">
        <v>18</v>
      </c>
      <c r="D15" s="10" t="s">
        <v>17</v>
      </c>
      <c r="E15" s="10">
        <v>1</v>
      </c>
      <c r="F15" s="10">
        <v>18.100000000000001</v>
      </c>
      <c r="G15" s="11">
        <v>3.0041000000000002</v>
      </c>
      <c r="H15" s="10">
        <f>SUM(_xlfn.XLOOKUP(Table27[[#This Row],[Recipient number]],Extra_RecipientsWeight!A:A,Extra_RecipientsWeight!B:B)+G15)</f>
        <v>24.122199999999999</v>
      </c>
      <c r="I15" s="11">
        <v>21.159500000000001</v>
      </c>
      <c r="J15" s="12"/>
      <c r="K15" s="55"/>
      <c r="L15" s="44">
        <f>(Table27[[#This Row],[Sample Weight (g)]]-(Table27[[#This Row],[Incial Weight (g)]]-Table27[[#This Row],[Final Weight (g)]]))/Table27[[#This Row],[Sample Weight (g)]]</f>
        <v>1.378116574015582E-2</v>
      </c>
      <c r="M15" s="56"/>
      <c r="N15" s="57"/>
      <c r="O15" s="13" t="s">
        <v>86</v>
      </c>
      <c r="P15" s="11" t="s">
        <v>103</v>
      </c>
    </row>
    <row r="16" spans="1:16">
      <c r="A16" s="10">
        <v>15</v>
      </c>
      <c r="B16" s="10" t="str">
        <f>_xlfn.CONCAT(C16,"_",D16,"_",E16)</f>
        <v>20% BSG+E_Ash_2</v>
      </c>
      <c r="C16" s="10" t="s">
        <v>18</v>
      </c>
      <c r="D16" s="10" t="s">
        <v>17</v>
      </c>
      <c r="E16" s="10">
        <v>2</v>
      </c>
      <c r="F16" s="10">
        <v>24</v>
      </c>
      <c r="G16" s="11">
        <v>3.0148000000000001</v>
      </c>
      <c r="H16" s="10">
        <f>SUM(_xlfn.XLOOKUP(Table27[[#This Row],[Recipient number]],Extra_RecipientsWeight!A:A,Extra_RecipientsWeight!B:B)+G16)</f>
        <v>23.526800000000001</v>
      </c>
      <c r="I16" s="11">
        <v>20.558900000000001</v>
      </c>
      <c r="J16" s="12"/>
      <c r="K16" s="55"/>
      <c r="L16" s="44">
        <f>(Table27[[#This Row],[Sample Weight (g)]]-(Table27[[#This Row],[Incial Weight (g)]]-Table27[[#This Row],[Final Weight (g)]]))/Table27[[#This Row],[Sample Weight (g)]]</f>
        <v>1.5556587501658465E-2</v>
      </c>
      <c r="M16" s="56"/>
      <c r="N16" s="57"/>
      <c r="O16" s="13" t="s">
        <v>86</v>
      </c>
      <c r="P16" s="11" t="s">
        <v>103</v>
      </c>
    </row>
    <row r="17" spans="1:16">
      <c r="A17" s="10">
        <v>16</v>
      </c>
      <c r="B17" s="10" t="str">
        <f t="shared" si="1"/>
        <v>Flour_Protein_1</v>
      </c>
      <c r="C17" s="10" t="s">
        <v>8</v>
      </c>
      <c r="D17" s="10" t="s">
        <v>20</v>
      </c>
      <c r="E17" s="10">
        <v>1</v>
      </c>
      <c r="F17" s="15"/>
      <c r="G17" s="58">
        <v>1.0026999999999999</v>
      </c>
      <c r="H17" s="58">
        <f>Table27[[#This Row],[Sample Weight (g)]]</f>
        <v>1.0026999999999999</v>
      </c>
      <c r="I17" s="15"/>
      <c r="J17" s="15"/>
      <c r="K17" s="53"/>
      <c r="L17" s="23" t="s">
        <v>40</v>
      </c>
      <c r="M17" s="52">
        <v>13.8</v>
      </c>
      <c r="N17" s="51">
        <v>0.1212</v>
      </c>
      <c r="O17" s="13" t="s">
        <v>86</v>
      </c>
      <c r="P17" s="11"/>
    </row>
    <row r="18" spans="1:16">
      <c r="A18" s="10">
        <v>17</v>
      </c>
      <c r="B18" s="10" t="str">
        <f t="shared" si="1"/>
        <v>Flour_Protein_2</v>
      </c>
      <c r="C18" s="10" t="s">
        <v>8</v>
      </c>
      <c r="D18" s="10" t="s">
        <v>20</v>
      </c>
      <c r="E18" s="10">
        <v>2</v>
      </c>
      <c r="F18" s="15"/>
      <c r="G18" s="58">
        <v>1.0024</v>
      </c>
      <c r="H18" s="58">
        <f>Table27[[#This Row],[Sample Weight (g)]]</f>
        <v>1.0024</v>
      </c>
      <c r="I18" s="15"/>
      <c r="J18" s="15"/>
      <c r="K18" s="53"/>
      <c r="L18" s="23" t="s">
        <v>40</v>
      </c>
      <c r="M18" s="52">
        <v>13.7</v>
      </c>
      <c r="N18" s="51">
        <v>0.12039999999999999</v>
      </c>
      <c r="O18" s="13" t="s">
        <v>86</v>
      </c>
      <c r="P18" s="11"/>
    </row>
    <row r="19" spans="1:16">
      <c r="A19" s="10">
        <v>18</v>
      </c>
      <c r="B19" s="10" t="str">
        <f t="shared" si="1"/>
        <v>10% BSG_Protein_1</v>
      </c>
      <c r="C19" s="10" t="s">
        <v>11</v>
      </c>
      <c r="D19" s="10" t="s">
        <v>20</v>
      </c>
      <c r="E19" s="10">
        <v>1</v>
      </c>
      <c r="F19" s="15"/>
      <c r="G19" s="58">
        <v>1.0114000000000001</v>
      </c>
      <c r="H19" s="58">
        <f>Table27[[#This Row],[Sample Weight (g)]]</f>
        <v>1.0114000000000001</v>
      </c>
      <c r="I19" s="15"/>
      <c r="J19" s="15"/>
      <c r="K19" s="53"/>
      <c r="L19" s="23" t="s">
        <v>40</v>
      </c>
      <c r="M19" s="52">
        <v>15</v>
      </c>
      <c r="N19" s="51">
        <v>0.13009999999999999</v>
      </c>
      <c r="O19" s="13" t="s">
        <v>86</v>
      </c>
      <c r="P19" s="11"/>
    </row>
    <row r="20" spans="1:16">
      <c r="A20" s="10">
        <v>19</v>
      </c>
      <c r="B20" s="10" t="str">
        <f t="shared" si="1"/>
        <v>10% BSG_Protein_2</v>
      </c>
      <c r="C20" s="10" t="s">
        <v>11</v>
      </c>
      <c r="D20" s="10" t="s">
        <v>20</v>
      </c>
      <c r="E20" s="10">
        <v>2</v>
      </c>
      <c r="F20" s="15"/>
      <c r="G20" s="58">
        <v>1.0062</v>
      </c>
      <c r="H20" s="58">
        <f>Table27[[#This Row],[Sample Weight (g)]]</f>
        <v>1.0062</v>
      </c>
      <c r="I20" s="15"/>
      <c r="J20" s="15"/>
      <c r="K20" s="53"/>
      <c r="L20" s="23" t="s">
        <v>40</v>
      </c>
      <c r="M20" s="52">
        <v>15.8</v>
      </c>
      <c r="N20" s="51">
        <v>0.13780000000000001</v>
      </c>
      <c r="O20" s="13" t="s">
        <v>86</v>
      </c>
      <c r="P20" s="11"/>
    </row>
    <row r="21" spans="1:16">
      <c r="A21" s="10">
        <v>20</v>
      </c>
      <c r="B21" s="10" t="str">
        <f t="shared" si="1"/>
        <v>20% BSG_Protein_1</v>
      </c>
      <c r="C21" s="10" t="s">
        <v>22</v>
      </c>
      <c r="D21" s="10" t="s">
        <v>20</v>
      </c>
      <c r="E21" s="10">
        <v>1</v>
      </c>
      <c r="F21" s="15"/>
      <c r="G21" s="58">
        <v>1.0123</v>
      </c>
      <c r="H21" s="58">
        <f>Table27[[#This Row],[Sample Weight (g)]]</f>
        <v>1.0123</v>
      </c>
      <c r="I21" s="15"/>
      <c r="J21" s="15"/>
      <c r="K21" s="53"/>
      <c r="L21" s="23" t="s">
        <v>40</v>
      </c>
      <c r="M21" s="52">
        <v>16</v>
      </c>
      <c r="N21" s="51">
        <v>0.13850000000000001</v>
      </c>
      <c r="O21" s="13" t="s">
        <v>86</v>
      </c>
      <c r="P21" s="11"/>
    </row>
    <row r="22" spans="1:16">
      <c r="A22" s="10">
        <v>21</v>
      </c>
      <c r="B22" s="10" t="str">
        <f t="shared" si="1"/>
        <v>20% BSG_Protein_2</v>
      </c>
      <c r="C22" s="10" t="s">
        <v>22</v>
      </c>
      <c r="D22" s="10" t="s">
        <v>20</v>
      </c>
      <c r="E22" s="10">
        <v>2</v>
      </c>
      <c r="F22" s="15"/>
      <c r="G22" s="58">
        <v>1.0037</v>
      </c>
      <c r="H22" s="58">
        <f>Table27[[#This Row],[Sample Weight (g)]]</f>
        <v>1.0037</v>
      </c>
      <c r="I22" s="15"/>
      <c r="J22" s="15"/>
      <c r="K22" s="53"/>
      <c r="L22" s="23" t="s">
        <v>40</v>
      </c>
      <c r="M22" s="52">
        <v>15.6</v>
      </c>
      <c r="N22" s="51">
        <v>0.1361</v>
      </c>
      <c r="O22" s="13" t="s">
        <v>86</v>
      </c>
      <c r="P22" s="11"/>
    </row>
    <row r="23" spans="1:16">
      <c r="A23" s="10">
        <v>22</v>
      </c>
      <c r="B23" s="10" t="str">
        <f t="shared" si="1"/>
        <v>10% BSG+E_Protein_1</v>
      </c>
      <c r="C23" s="10" t="s">
        <v>15</v>
      </c>
      <c r="D23" s="10" t="s">
        <v>20</v>
      </c>
      <c r="E23" s="10">
        <v>1</v>
      </c>
      <c r="F23" s="15"/>
      <c r="G23" s="58">
        <v>1.0027999999999999</v>
      </c>
      <c r="H23" s="58">
        <f>Table27[[#This Row],[Sample Weight (g)]]</f>
        <v>1.0027999999999999</v>
      </c>
      <c r="I23" s="15"/>
      <c r="J23" s="15"/>
      <c r="K23" s="53"/>
      <c r="L23" s="23" t="s">
        <v>40</v>
      </c>
      <c r="M23" s="52">
        <v>14.5</v>
      </c>
      <c r="N23" s="51">
        <v>0.12659999999999999</v>
      </c>
      <c r="O23" s="13" t="s">
        <v>86</v>
      </c>
      <c r="P23" s="11"/>
    </row>
    <row r="24" spans="1:16">
      <c r="A24" s="10">
        <v>23</v>
      </c>
      <c r="B24" s="10" t="str">
        <f t="shared" si="1"/>
        <v>10% BSG+E_Protein_2</v>
      </c>
      <c r="C24" s="10" t="s">
        <v>15</v>
      </c>
      <c r="D24" s="10" t="s">
        <v>20</v>
      </c>
      <c r="E24" s="10">
        <v>2</v>
      </c>
      <c r="F24" s="15"/>
      <c r="G24" s="58">
        <v>1.0077</v>
      </c>
      <c r="H24" s="58">
        <f>Table27[[#This Row],[Sample Weight (g)]]</f>
        <v>1.0077</v>
      </c>
      <c r="I24" s="15"/>
      <c r="J24" s="15"/>
      <c r="K24" s="53"/>
      <c r="L24" s="23" t="s">
        <v>40</v>
      </c>
      <c r="M24" s="52">
        <v>14.6</v>
      </c>
      <c r="N24" s="51">
        <v>0.127</v>
      </c>
      <c r="O24" s="13" t="s">
        <v>86</v>
      </c>
      <c r="P24" s="11"/>
    </row>
    <row r="25" spans="1:16">
      <c r="A25" s="10">
        <v>24</v>
      </c>
      <c r="B25" s="10" t="str">
        <f t="shared" si="1"/>
        <v>20% BSG+E_Protein_1</v>
      </c>
      <c r="C25" s="10" t="s">
        <v>18</v>
      </c>
      <c r="D25" s="10" t="s">
        <v>20</v>
      </c>
      <c r="E25" s="10">
        <v>1</v>
      </c>
      <c r="F25" s="15"/>
      <c r="G25" s="58">
        <v>1.0048999999999999</v>
      </c>
      <c r="H25" s="58">
        <f>Table27[[#This Row],[Sample Weight (g)]]</f>
        <v>1.0048999999999999</v>
      </c>
      <c r="I25" s="15"/>
      <c r="J25" s="15"/>
      <c r="K25" s="15"/>
      <c r="L25" s="15"/>
      <c r="M25" s="52">
        <v>16.3</v>
      </c>
      <c r="N25" s="51">
        <v>0.14199999999999999</v>
      </c>
      <c r="O25" s="13" t="s">
        <v>86</v>
      </c>
      <c r="P25" s="11"/>
    </row>
    <row r="26" spans="1:16">
      <c r="A26" s="10">
        <v>25</v>
      </c>
      <c r="B26" s="10" t="str">
        <f t="shared" si="1"/>
        <v>20% BSG+E_Protein_2</v>
      </c>
      <c r="C26" s="10" t="s">
        <v>18</v>
      </c>
      <c r="D26" s="10" t="s">
        <v>20</v>
      </c>
      <c r="E26" s="10">
        <v>2</v>
      </c>
      <c r="F26" s="15"/>
      <c r="G26" s="58">
        <v>1.0072000000000001</v>
      </c>
      <c r="H26" s="58">
        <f>Table27[[#This Row],[Sample Weight (g)]]</f>
        <v>1.0072000000000001</v>
      </c>
      <c r="I26" s="15"/>
      <c r="J26" s="15"/>
      <c r="K26" s="15"/>
      <c r="L26" s="15"/>
      <c r="M26" s="52">
        <v>16.100000000000001</v>
      </c>
      <c r="N26" s="51">
        <v>0.1399</v>
      </c>
      <c r="O26" s="13" t="s">
        <v>86</v>
      </c>
      <c r="P26" s="11"/>
    </row>
  </sheetData>
  <phoneticPr fontId="3" type="noConversion"/>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45B6AE-623E-41E7-BC20-A6DF36C62745}">
  <dimension ref="A1:M42"/>
  <sheetViews>
    <sheetView workbookViewId="0">
      <selection activeCell="M1" sqref="M1"/>
    </sheetView>
  </sheetViews>
  <sheetFormatPr defaultRowHeight="15" customHeight="1"/>
  <cols>
    <col min="3" max="3" width="10.140625" customWidth="1"/>
    <col min="4" max="4" width="8.85546875" customWidth="1"/>
  </cols>
  <sheetData>
    <row r="1" spans="1:13" ht="40.5" customHeight="1">
      <c r="A1" s="143" t="s">
        <v>104</v>
      </c>
      <c r="B1" s="81" t="s">
        <v>105</v>
      </c>
      <c r="C1" s="140" t="s">
        <v>106</v>
      </c>
      <c r="D1" s="141"/>
      <c r="E1" s="140" t="s">
        <v>107</v>
      </c>
      <c r="F1" s="141"/>
      <c r="G1" s="140" t="s">
        <v>108</v>
      </c>
      <c r="H1" s="141"/>
      <c r="I1" s="140" t="s">
        <v>109</v>
      </c>
      <c r="J1" s="141"/>
      <c r="K1" s="140" t="s">
        <v>110</v>
      </c>
      <c r="L1" s="142"/>
      <c r="M1" s="75" t="s">
        <v>111</v>
      </c>
    </row>
    <row r="2" spans="1:13" ht="29.25" customHeight="1">
      <c r="A2" s="145"/>
      <c r="B2" s="73"/>
      <c r="C2" s="66" t="s">
        <v>112</v>
      </c>
      <c r="D2" s="66" t="s">
        <v>113</v>
      </c>
      <c r="E2" s="66" t="s">
        <v>112</v>
      </c>
      <c r="F2" s="66" t="s">
        <v>113</v>
      </c>
      <c r="G2" s="66" t="s">
        <v>112</v>
      </c>
      <c r="H2" s="66" t="s">
        <v>113</v>
      </c>
      <c r="I2" s="66" t="s">
        <v>112</v>
      </c>
      <c r="J2" s="66" t="s">
        <v>113</v>
      </c>
      <c r="K2" s="66" t="s">
        <v>112</v>
      </c>
      <c r="L2" s="78" t="s">
        <v>113</v>
      </c>
      <c r="M2" s="76" t="s">
        <v>112</v>
      </c>
    </row>
    <row r="3" spans="1:13">
      <c r="A3" s="143">
        <v>1</v>
      </c>
      <c r="B3" s="69" t="s">
        <v>9</v>
      </c>
      <c r="C3" s="70">
        <v>4.5</v>
      </c>
      <c r="D3" s="70">
        <v>1</v>
      </c>
      <c r="E3" s="70">
        <v>4.5</v>
      </c>
      <c r="F3" s="70">
        <v>2</v>
      </c>
      <c r="G3" s="70">
        <v>4.5</v>
      </c>
      <c r="H3" s="70">
        <v>4</v>
      </c>
      <c r="I3" s="70">
        <v>5</v>
      </c>
      <c r="J3" s="70">
        <v>4</v>
      </c>
      <c r="K3" s="70">
        <v>5</v>
      </c>
      <c r="L3" s="79">
        <v>9</v>
      </c>
      <c r="M3" s="77">
        <f>C3*D3+E3*F3+G3*H3+I3*J3+K3*L3</f>
        <v>96.5</v>
      </c>
    </row>
    <row r="4" spans="1:13">
      <c r="A4" s="144"/>
      <c r="B4" s="68">
        <v>0.1</v>
      </c>
      <c r="C4" s="64">
        <v>4</v>
      </c>
      <c r="D4" s="64">
        <v>1</v>
      </c>
      <c r="E4" s="64">
        <v>4.5</v>
      </c>
      <c r="F4" s="64">
        <v>2</v>
      </c>
      <c r="G4" s="64">
        <v>4.5</v>
      </c>
      <c r="H4" s="64">
        <v>4</v>
      </c>
      <c r="I4" s="64">
        <v>4.5</v>
      </c>
      <c r="J4" s="64">
        <v>4</v>
      </c>
      <c r="K4" s="64">
        <v>3.5</v>
      </c>
      <c r="L4" s="80">
        <v>9</v>
      </c>
      <c r="M4" s="82">
        <f t="shared" ref="M4:M42" si="0">C4*D4+E4*F4+G4*H4+I4*J4+K4*L4</f>
        <v>80.5</v>
      </c>
    </row>
    <row r="5" spans="1:13">
      <c r="A5" s="144"/>
      <c r="B5" s="68">
        <v>0.2</v>
      </c>
      <c r="C5" s="64">
        <v>2.5</v>
      </c>
      <c r="D5" s="64">
        <v>1</v>
      </c>
      <c r="E5" s="64">
        <v>2.5</v>
      </c>
      <c r="F5" s="64">
        <v>2</v>
      </c>
      <c r="G5" s="64">
        <v>2</v>
      </c>
      <c r="H5" s="64">
        <v>4</v>
      </c>
      <c r="I5" s="64">
        <v>4</v>
      </c>
      <c r="J5" s="64">
        <v>4</v>
      </c>
      <c r="K5" s="64">
        <v>3</v>
      </c>
      <c r="L5" s="80">
        <v>9</v>
      </c>
      <c r="M5" s="82">
        <f t="shared" si="0"/>
        <v>58.5</v>
      </c>
    </row>
    <row r="6" spans="1:13">
      <c r="A6" s="144"/>
      <c r="B6" s="67" t="s">
        <v>16</v>
      </c>
      <c r="C6" s="64">
        <v>4</v>
      </c>
      <c r="D6" s="64">
        <v>1</v>
      </c>
      <c r="E6" s="64">
        <v>4</v>
      </c>
      <c r="F6" s="64">
        <v>2</v>
      </c>
      <c r="G6" s="64">
        <v>3.5</v>
      </c>
      <c r="H6" s="64">
        <v>4</v>
      </c>
      <c r="I6" s="64">
        <v>5</v>
      </c>
      <c r="J6" s="64">
        <v>4</v>
      </c>
      <c r="K6" s="64">
        <v>2.5</v>
      </c>
      <c r="L6" s="80">
        <v>9</v>
      </c>
      <c r="M6" s="82">
        <f t="shared" si="0"/>
        <v>68.5</v>
      </c>
    </row>
    <row r="7" spans="1:13">
      <c r="A7" s="145"/>
      <c r="B7" s="74" t="s">
        <v>19</v>
      </c>
      <c r="C7" s="64">
        <v>3</v>
      </c>
      <c r="D7" s="64">
        <v>1</v>
      </c>
      <c r="E7" s="64">
        <v>3</v>
      </c>
      <c r="F7" s="64">
        <v>2</v>
      </c>
      <c r="G7" s="64">
        <v>3</v>
      </c>
      <c r="H7" s="64">
        <v>4</v>
      </c>
      <c r="I7" s="64">
        <v>3.5</v>
      </c>
      <c r="J7" s="64">
        <v>4</v>
      </c>
      <c r="K7" s="64">
        <v>2.5</v>
      </c>
      <c r="L7" s="80">
        <v>9</v>
      </c>
      <c r="M7" s="82">
        <f t="shared" si="0"/>
        <v>57.5</v>
      </c>
    </row>
    <row r="8" spans="1:13">
      <c r="A8" s="143">
        <v>2</v>
      </c>
      <c r="B8" s="69" t="s">
        <v>9</v>
      </c>
      <c r="C8" s="70">
        <v>5</v>
      </c>
      <c r="D8" s="70">
        <v>1</v>
      </c>
      <c r="E8" s="70">
        <v>3</v>
      </c>
      <c r="F8" s="70">
        <v>2</v>
      </c>
      <c r="G8" s="70">
        <v>3</v>
      </c>
      <c r="H8" s="70">
        <v>4</v>
      </c>
      <c r="I8" s="70">
        <v>3</v>
      </c>
      <c r="J8" s="70">
        <v>4</v>
      </c>
      <c r="K8" s="70">
        <v>4</v>
      </c>
      <c r="L8" s="79">
        <v>9</v>
      </c>
      <c r="M8" s="77">
        <f t="shared" si="0"/>
        <v>71</v>
      </c>
    </row>
    <row r="9" spans="1:13">
      <c r="A9" s="144"/>
      <c r="B9" s="68">
        <v>0.1</v>
      </c>
      <c r="C9" s="64">
        <v>5</v>
      </c>
      <c r="D9" s="64">
        <v>1</v>
      </c>
      <c r="E9" s="64">
        <v>3</v>
      </c>
      <c r="F9" s="64">
        <v>2</v>
      </c>
      <c r="G9" s="64">
        <v>4</v>
      </c>
      <c r="H9" s="64">
        <v>4</v>
      </c>
      <c r="I9" s="64">
        <v>3</v>
      </c>
      <c r="J9" s="64">
        <v>4</v>
      </c>
      <c r="K9" s="64">
        <v>4</v>
      </c>
      <c r="L9" s="80">
        <v>9</v>
      </c>
      <c r="M9" s="82">
        <f t="shared" si="0"/>
        <v>75</v>
      </c>
    </row>
    <row r="10" spans="1:13">
      <c r="A10" s="144"/>
      <c r="B10" s="68">
        <v>0.2</v>
      </c>
      <c r="C10" s="64">
        <v>3</v>
      </c>
      <c r="D10" s="64">
        <v>1</v>
      </c>
      <c r="E10" s="64">
        <v>3</v>
      </c>
      <c r="F10" s="64">
        <v>2</v>
      </c>
      <c r="G10" s="64">
        <v>4</v>
      </c>
      <c r="H10" s="64">
        <v>4</v>
      </c>
      <c r="I10" s="64">
        <v>4</v>
      </c>
      <c r="J10" s="64">
        <v>4</v>
      </c>
      <c r="K10" s="64">
        <v>5</v>
      </c>
      <c r="L10" s="80">
        <v>9</v>
      </c>
      <c r="M10" s="82">
        <f t="shared" si="0"/>
        <v>86</v>
      </c>
    </row>
    <row r="11" spans="1:13">
      <c r="A11" s="144"/>
      <c r="B11" s="67" t="s">
        <v>16</v>
      </c>
      <c r="C11" s="64">
        <v>4</v>
      </c>
      <c r="D11" s="64">
        <v>1</v>
      </c>
      <c r="E11" s="64">
        <v>4</v>
      </c>
      <c r="F11" s="64">
        <v>2</v>
      </c>
      <c r="G11" s="64">
        <v>5</v>
      </c>
      <c r="H11" s="64">
        <v>4</v>
      </c>
      <c r="I11" s="64">
        <v>4</v>
      </c>
      <c r="J11" s="64">
        <v>4</v>
      </c>
      <c r="K11" s="64">
        <v>4</v>
      </c>
      <c r="L11" s="80">
        <v>9</v>
      </c>
      <c r="M11" s="82">
        <f t="shared" si="0"/>
        <v>84</v>
      </c>
    </row>
    <row r="12" spans="1:13">
      <c r="A12" s="145"/>
      <c r="B12" s="74" t="s">
        <v>19</v>
      </c>
      <c r="C12" s="64">
        <v>4</v>
      </c>
      <c r="D12" s="64">
        <v>1</v>
      </c>
      <c r="E12" s="64">
        <v>5</v>
      </c>
      <c r="F12" s="64">
        <v>2</v>
      </c>
      <c r="G12" s="64">
        <v>4</v>
      </c>
      <c r="H12" s="64">
        <v>4</v>
      </c>
      <c r="I12" s="64">
        <v>5</v>
      </c>
      <c r="J12" s="64">
        <v>4</v>
      </c>
      <c r="K12" s="64">
        <v>5</v>
      </c>
      <c r="L12" s="80">
        <v>9</v>
      </c>
      <c r="M12" s="82">
        <f t="shared" si="0"/>
        <v>95</v>
      </c>
    </row>
    <row r="13" spans="1:13">
      <c r="A13" s="143">
        <v>3</v>
      </c>
      <c r="B13" s="69" t="s">
        <v>9</v>
      </c>
      <c r="C13" s="70">
        <v>4</v>
      </c>
      <c r="D13" s="70">
        <v>1</v>
      </c>
      <c r="E13" s="70">
        <v>4</v>
      </c>
      <c r="F13" s="70">
        <v>2</v>
      </c>
      <c r="G13" s="70">
        <v>4</v>
      </c>
      <c r="H13" s="70">
        <v>4</v>
      </c>
      <c r="I13" s="70">
        <v>4</v>
      </c>
      <c r="J13" s="70">
        <v>4</v>
      </c>
      <c r="K13" s="70">
        <v>4.5</v>
      </c>
      <c r="L13" s="79">
        <v>9</v>
      </c>
      <c r="M13" s="77">
        <f t="shared" si="0"/>
        <v>84.5</v>
      </c>
    </row>
    <row r="14" spans="1:13">
      <c r="A14" s="144"/>
      <c r="B14" s="68">
        <v>0.1</v>
      </c>
      <c r="C14" s="64">
        <v>3.5</v>
      </c>
      <c r="D14" s="64">
        <v>1</v>
      </c>
      <c r="E14" s="64">
        <v>4</v>
      </c>
      <c r="F14" s="64">
        <v>2</v>
      </c>
      <c r="G14" s="64">
        <v>3.5</v>
      </c>
      <c r="H14" s="64">
        <v>4</v>
      </c>
      <c r="I14" s="64">
        <v>3.5</v>
      </c>
      <c r="J14" s="64">
        <v>4</v>
      </c>
      <c r="K14" s="64">
        <v>4</v>
      </c>
      <c r="L14" s="80">
        <v>9</v>
      </c>
      <c r="M14" s="82">
        <f t="shared" si="0"/>
        <v>75.5</v>
      </c>
    </row>
    <row r="15" spans="1:13">
      <c r="A15" s="144"/>
      <c r="B15" s="68">
        <v>0.2</v>
      </c>
      <c r="C15" s="64">
        <v>3</v>
      </c>
      <c r="D15" s="64">
        <v>1</v>
      </c>
      <c r="E15" s="64">
        <v>2.5</v>
      </c>
      <c r="F15" s="64">
        <v>2</v>
      </c>
      <c r="G15" s="64">
        <v>2</v>
      </c>
      <c r="H15" s="64">
        <v>4</v>
      </c>
      <c r="I15" s="64">
        <v>3</v>
      </c>
      <c r="J15" s="64">
        <v>4</v>
      </c>
      <c r="K15" s="64">
        <v>3</v>
      </c>
      <c r="L15" s="80">
        <v>9</v>
      </c>
      <c r="M15" s="82">
        <f t="shared" si="0"/>
        <v>55</v>
      </c>
    </row>
    <row r="16" spans="1:13">
      <c r="A16" s="144"/>
      <c r="B16" s="67" t="s">
        <v>16</v>
      </c>
      <c r="C16" s="64">
        <v>3.5</v>
      </c>
      <c r="D16" s="64">
        <v>1</v>
      </c>
      <c r="E16" s="64">
        <v>3.5</v>
      </c>
      <c r="F16" s="64">
        <v>2</v>
      </c>
      <c r="G16" s="64">
        <v>3</v>
      </c>
      <c r="H16" s="64">
        <v>4</v>
      </c>
      <c r="I16" s="64">
        <v>3</v>
      </c>
      <c r="J16" s="64">
        <v>4</v>
      </c>
      <c r="K16" s="64">
        <v>2.5</v>
      </c>
      <c r="L16" s="80">
        <v>9</v>
      </c>
      <c r="M16" s="82">
        <f t="shared" si="0"/>
        <v>57</v>
      </c>
    </row>
    <row r="17" spans="1:13">
      <c r="A17" s="145"/>
      <c r="B17" s="74" t="s">
        <v>19</v>
      </c>
      <c r="C17" s="64">
        <v>2.5</v>
      </c>
      <c r="D17" s="64">
        <v>1</v>
      </c>
      <c r="E17" s="64">
        <v>3</v>
      </c>
      <c r="F17" s="64">
        <v>2</v>
      </c>
      <c r="G17" s="64">
        <v>2.5</v>
      </c>
      <c r="H17" s="64">
        <v>4</v>
      </c>
      <c r="I17" s="64">
        <v>2.5</v>
      </c>
      <c r="J17" s="64">
        <v>4</v>
      </c>
      <c r="K17" s="64">
        <v>2.5</v>
      </c>
      <c r="L17" s="80">
        <v>9</v>
      </c>
      <c r="M17" s="82">
        <f t="shared" si="0"/>
        <v>51</v>
      </c>
    </row>
    <row r="18" spans="1:13">
      <c r="A18" s="143">
        <v>4</v>
      </c>
      <c r="B18" s="69" t="s">
        <v>9</v>
      </c>
      <c r="C18" s="70">
        <v>4</v>
      </c>
      <c r="D18" s="70">
        <v>1</v>
      </c>
      <c r="E18" s="70">
        <v>4</v>
      </c>
      <c r="F18" s="70">
        <v>2</v>
      </c>
      <c r="G18" s="70">
        <v>4.5</v>
      </c>
      <c r="H18" s="70">
        <v>4</v>
      </c>
      <c r="I18" s="70">
        <v>4.5</v>
      </c>
      <c r="J18" s="70">
        <v>4</v>
      </c>
      <c r="K18" s="70">
        <v>4.5</v>
      </c>
      <c r="L18" s="79">
        <v>9</v>
      </c>
      <c r="M18" s="77">
        <f t="shared" si="0"/>
        <v>88.5</v>
      </c>
    </row>
    <row r="19" spans="1:13" ht="15" customHeight="1">
      <c r="A19" s="144"/>
      <c r="B19" s="68">
        <v>0.1</v>
      </c>
      <c r="C19" s="64">
        <v>3.5</v>
      </c>
      <c r="D19" s="64">
        <v>1</v>
      </c>
      <c r="E19" s="64">
        <v>3.5</v>
      </c>
      <c r="F19" s="64">
        <v>2</v>
      </c>
      <c r="G19" s="64">
        <v>4</v>
      </c>
      <c r="H19" s="64">
        <v>4</v>
      </c>
      <c r="I19" s="64">
        <v>4</v>
      </c>
      <c r="J19" s="64">
        <v>4</v>
      </c>
      <c r="K19" s="64">
        <v>4</v>
      </c>
      <c r="L19" s="80">
        <v>9</v>
      </c>
      <c r="M19" s="82">
        <f t="shared" si="0"/>
        <v>78.5</v>
      </c>
    </row>
    <row r="20" spans="1:13" ht="15" customHeight="1">
      <c r="A20" s="144"/>
      <c r="B20" s="68">
        <v>0.2</v>
      </c>
      <c r="C20" s="64">
        <v>2</v>
      </c>
      <c r="D20" s="64">
        <v>1</v>
      </c>
      <c r="E20" s="64">
        <v>2</v>
      </c>
      <c r="F20" s="64">
        <v>2</v>
      </c>
      <c r="G20" s="64">
        <v>3.5</v>
      </c>
      <c r="H20" s="64">
        <v>4</v>
      </c>
      <c r="I20" s="64">
        <v>3</v>
      </c>
      <c r="J20" s="64">
        <v>4</v>
      </c>
      <c r="K20" s="64">
        <v>4</v>
      </c>
      <c r="L20" s="80">
        <v>9</v>
      </c>
      <c r="M20" s="82">
        <f t="shared" si="0"/>
        <v>68</v>
      </c>
    </row>
    <row r="21" spans="1:13" ht="15" customHeight="1">
      <c r="A21" s="144"/>
      <c r="B21" s="67" t="s">
        <v>16</v>
      </c>
      <c r="C21" s="64">
        <v>2.5</v>
      </c>
      <c r="D21" s="64">
        <v>1</v>
      </c>
      <c r="E21" s="64">
        <v>2.5</v>
      </c>
      <c r="F21" s="64">
        <v>2</v>
      </c>
      <c r="G21" s="64">
        <v>3</v>
      </c>
      <c r="H21" s="64">
        <v>4</v>
      </c>
      <c r="I21" s="64">
        <v>3</v>
      </c>
      <c r="J21" s="64">
        <v>4</v>
      </c>
      <c r="K21" s="64">
        <v>4</v>
      </c>
      <c r="L21" s="80">
        <v>9</v>
      </c>
      <c r="M21" s="82">
        <f t="shared" si="0"/>
        <v>67.5</v>
      </c>
    </row>
    <row r="22" spans="1:13" ht="15" customHeight="1">
      <c r="A22" s="145"/>
      <c r="B22" s="74" t="s">
        <v>19</v>
      </c>
      <c r="C22" s="64">
        <v>2</v>
      </c>
      <c r="D22" s="64">
        <v>1</v>
      </c>
      <c r="E22" s="64">
        <v>2</v>
      </c>
      <c r="F22" s="64">
        <v>2</v>
      </c>
      <c r="G22" s="64">
        <v>2.5</v>
      </c>
      <c r="H22" s="64">
        <v>4</v>
      </c>
      <c r="I22" s="64">
        <v>2.5</v>
      </c>
      <c r="J22" s="64">
        <v>4</v>
      </c>
      <c r="K22" s="64">
        <v>3.5</v>
      </c>
      <c r="L22" s="80">
        <v>9</v>
      </c>
      <c r="M22" s="82">
        <f t="shared" si="0"/>
        <v>57.5</v>
      </c>
    </row>
    <row r="23" spans="1:13" ht="15" customHeight="1">
      <c r="A23" s="143">
        <v>5</v>
      </c>
      <c r="B23" s="69" t="s">
        <v>9</v>
      </c>
      <c r="C23" s="70">
        <v>4</v>
      </c>
      <c r="D23" s="70">
        <v>1</v>
      </c>
      <c r="E23" s="70">
        <v>4</v>
      </c>
      <c r="F23" s="70">
        <v>2</v>
      </c>
      <c r="G23" s="70">
        <v>4</v>
      </c>
      <c r="H23" s="70">
        <v>4</v>
      </c>
      <c r="I23" s="70">
        <v>4</v>
      </c>
      <c r="J23" s="70">
        <v>4</v>
      </c>
      <c r="K23" s="70">
        <v>4</v>
      </c>
      <c r="L23" s="79">
        <v>9</v>
      </c>
      <c r="M23" s="77">
        <f t="shared" si="0"/>
        <v>80</v>
      </c>
    </row>
    <row r="24" spans="1:13" ht="15" customHeight="1">
      <c r="A24" s="144"/>
      <c r="B24" s="68">
        <v>0.1</v>
      </c>
      <c r="C24" s="64">
        <v>5</v>
      </c>
      <c r="D24" s="64">
        <v>1</v>
      </c>
      <c r="E24" s="64">
        <v>4</v>
      </c>
      <c r="F24" s="64">
        <v>2</v>
      </c>
      <c r="G24" s="64">
        <v>5</v>
      </c>
      <c r="H24" s="64">
        <v>4</v>
      </c>
      <c r="I24" s="64">
        <v>5</v>
      </c>
      <c r="J24" s="64">
        <v>4</v>
      </c>
      <c r="K24" s="64">
        <v>3</v>
      </c>
      <c r="L24" s="80">
        <v>9</v>
      </c>
      <c r="M24" s="82">
        <f t="shared" si="0"/>
        <v>80</v>
      </c>
    </row>
    <row r="25" spans="1:13" ht="15" customHeight="1">
      <c r="A25" s="144"/>
      <c r="B25" s="68">
        <v>0.2</v>
      </c>
      <c r="C25" s="64">
        <v>3</v>
      </c>
      <c r="D25" s="64">
        <v>1</v>
      </c>
      <c r="E25" s="64">
        <v>4</v>
      </c>
      <c r="F25" s="64">
        <v>2</v>
      </c>
      <c r="G25" s="64">
        <v>3</v>
      </c>
      <c r="H25" s="64">
        <v>4</v>
      </c>
      <c r="I25" s="64">
        <v>3</v>
      </c>
      <c r="J25" s="64">
        <v>4</v>
      </c>
      <c r="K25" s="64">
        <v>2</v>
      </c>
      <c r="L25" s="80">
        <v>9</v>
      </c>
      <c r="M25" s="82">
        <f t="shared" si="0"/>
        <v>53</v>
      </c>
    </row>
    <row r="26" spans="1:13" ht="15" customHeight="1">
      <c r="A26" s="144"/>
      <c r="B26" s="67" t="s">
        <v>16</v>
      </c>
      <c r="C26" s="64">
        <v>4</v>
      </c>
      <c r="D26" s="64">
        <v>1</v>
      </c>
      <c r="E26" s="64">
        <v>5</v>
      </c>
      <c r="F26" s="64">
        <v>2</v>
      </c>
      <c r="G26" s="64">
        <v>3</v>
      </c>
      <c r="H26" s="64">
        <v>4</v>
      </c>
      <c r="I26" s="64">
        <v>3</v>
      </c>
      <c r="J26" s="64">
        <v>4</v>
      </c>
      <c r="K26" s="64">
        <v>2</v>
      </c>
      <c r="L26" s="80">
        <v>9</v>
      </c>
      <c r="M26" s="82">
        <f t="shared" si="0"/>
        <v>56</v>
      </c>
    </row>
    <row r="27" spans="1:13" ht="15" customHeight="1">
      <c r="A27" s="145"/>
      <c r="B27" s="74" t="s">
        <v>19</v>
      </c>
      <c r="C27" s="64">
        <v>3</v>
      </c>
      <c r="D27" s="64">
        <v>1</v>
      </c>
      <c r="E27" s="64">
        <v>4</v>
      </c>
      <c r="F27" s="64">
        <v>2</v>
      </c>
      <c r="G27" s="64">
        <v>3</v>
      </c>
      <c r="H27" s="64">
        <v>4</v>
      </c>
      <c r="I27" s="64">
        <v>2</v>
      </c>
      <c r="J27" s="64">
        <v>4</v>
      </c>
      <c r="K27" s="64">
        <v>1</v>
      </c>
      <c r="L27" s="80">
        <v>9</v>
      </c>
      <c r="M27" s="82">
        <f t="shared" si="0"/>
        <v>40</v>
      </c>
    </row>
    <row r="28" spans="1:13" ht="15" customHeight="1">
      <c r="A28" s="143">
        <v>6</v>
      </c>
      <c r="B28" s="69" t="s">
        <v>9</v>
      </c>
      <c r="C28" s="70">
        <v>4</v>
      </c>
      <c r="D28" s="70">
        <v>1</v>
      </c>
      <c r="E28" s="70">
        <v>4</v>
      </c>
      <c r="F28" s="70">
        <v>2</v>
      </c>
      <c r="G28" s="70">
        <v>3.5</v>
      </c>
      <c r="H28" s="70">
        <v>4</v>
      </c>
      <c r="I28" s="70">
        <v>4.5</v>
      </c>
      <c r="J28" s="70">
        <v>4</v>
      </c>
      <c r="K28" s="70">
        <v>4</v>
      </c>
      <c r="L28" s="79">
        <v>9</v>
      </c>
      <c r="M28" s="77">
        <f t="shared" si="0"/>
        <v>80</v>
      </c>
    </row>
    <row r="29" spans="1:13" ht="15" customHeight="1">
      <c r="A29" s="144"/>
      <c r="B29" s="68">
        <v>0.1</v>
      </c>
      <c r="C29" s="64">
        <v>3.5</v>
      </c>
      <c r="D29" s="64">
        <v>1</v>
      </c>
      <c r="E29" s="64">
        <v>4</v>
      </c>
      <c r="F29" s="64">
        <v>2</v>
      </c>
      <c r="G29" s="64">
        <v>3</v>
      </c>
      <c r="H29" s="64">
        <v>4</v>
      </c>
      <c r="I29" s="64">
        <v>4</v>
      </c>
      <c r="J29" s="64">
        <v>4</v>
      </c>
      <c r="K29" s="64">
        <v>3.5</v>
      </c>
      <c r="L29" s="80">
        <v>9</v>
      </c>
      <c r="M29" s="82">
        <f t="shared" si="0"/>
        <v>71</v>
      </c>
    </row>
    <row r="30" spans="1:13" ht="15" customHeight="1">
      <c r="A30" s="144"/>
      <c r="B30" s="68">
        <v>0.2</v>
      </c>
      <c r="C30" s="64">
        <v>2</v>
      </c>
      <c r="D30" s="64">
        <v>1</v>
      </c>
      <c r="E30" s="64">
        <v>2</v>
      </c>
      <c r="F30" s="64">
        <v>2</v>
      </c>
      <c r="G30" s="64">
        <v>1</v>
      </c>
      <c r="H30" s="64">
        <v>4</v>
      </c>
      <c r="I30" s="64">
        <v>1</v>
      </c>
      <c r="J30" s="64">
        <v>4</v>
      </c>
      <c r="K30" s="64">
        <v>1</v>
      </c>
      <c r="L30" s="80">
        <v>9</v>
      </c>
      <c r="M30" s="82">
        <f t="shared" si="0"/>
        <v>23</v>
      </c>
    </row>
    <row r="31" spans="1:13" ht="15" customHeight="1">
      <c r="A31" s="144"/>
      <c r="B31" s="67" t="s">
        <v>16</v>
      </c>
      <c r="C31" s="64">
        <v>3.5</v>
      </c>
      <c r="D31" s="64">
        <v>1</v>
      </c>
      <c r="E31" s="64">
        <v>3.5</v>
      </c>
      <c r="F31" s="64">
        <v>2</v>
      </c>
      <c r="G31" s="64">
        <v>3.5</v>
      </c>
      <c r="H31" s="64">
        <v>4</v>
      </c>
      <c r="I31" s="64">
        <v>3.5</v>
      </c>
      <c r="J31" s="64">
        <v>4</v>
      </c>
      <c r="K31" s="64">
        <v>3.5</v>
      </c>
      <c r="L31" s="80">
        <v>9</v>
      </c>
      <c r="M31" s="82">
        <f t="shared" si="0"/>
        <v>70</v>
      </c>
    </row>
    <row r="32" spans="1:13" ht="15" customHeight="1">
      <c r="A32" s="145"/>
      <c r="B32" s="74" t="s">
        <v>19</v>
      </c>
      <c r="C32" s="64">
        <v>2</v>
      </c>
      <c r="D32" s="64">
        <v>1</v>
      </c>
      <c r="E32" s="64">
        <v>2.5</v>
      </c>
      <c r="F32" s="64">
        <v>2</v>
      </c>
      <c r="G32" s="64">
        <v>1</v>
      </c>
      <c r="H32" s="64">
        <v>4</v>
      </c>
      <c r="I32" s="64">
        <v>1</v>
      </c>
      <c r="J32" s="64">
        <v>4</v>
      </c>
      <c r="K32" s="64">
        <v>1</v>
      </c>
      <c r="L32" s="80">
        <v>9</v>
      </c>
      <c r="M32" s="82">
        <f t="shared" si="0"/>
        <v>24</v>
      </c>
    </row>
    <row r="33" spans="1:13" ht="15" customHeight="1">
      <c r="A33" s="143">
        <v>7</v>
      </c>
      <c r="B33" s="69" t="s">
        <v>9</v>
      </c>
      <c r="C33" s="70">
        <v>4</v>
      </c>
      <c r="D33" s="70">
        <v>1</v>
      </c>
      <c r="E33" s="70">
        <v>4</v>
      </c>
      <c r="F33" s="70">
        <v>2</v>
      </c>
      <c r="G33" s="70">
        <v>4</v>
      </c>
      <c r="H33" s="70">
        <v>4</v>
      </c>
      <c r="I33" s="70">
        <v>4</v>
      </c>
      <c r="J33" s="70">
        <v>4</v>
      </c>
      <c r="K33" s="70">
        <v>4</v>
      </c>
      <c r="L33" s="79">
        <v>9</v>
      </c>
      <c r="M33" s="77">
        <f t="shared" si="0"/>
        <v>80</v>
      </c>
    </row>
    <row r="34" spans="1:13" ht="15" customHeight="1">
      <c r="A34" s="144"/>
      <c r="B34" s="68">
        <v>0.1</v>
      </c>
      <c r="C34" s="64">
        <v>4</v>
      </c>
      <c r="D34" s="64">
        <v>1</v>
      </c>
      <c r="E34" s="64">
        <v>4</v>
      </c>
      <c r="F34" s="64">
        <v>2</v>
      </c>
      <c r="G34" s="64">
        <v>4</v>
      </c>
      <c r="H34" s="64">
        <v>4</v>
      </c>
      <c r="I34" s="64">
        <v>4.5</v>
      </c>
      <c r="J34" s="64">
        <v>4</v>
      </c>
      <c r="K34" s="64">
        <v>4.5</v>
      </c>
      <c r="L34" s="80">
        <v>9</v>
      </c>
      <c r="M34" s="82">
        <f t="shared" si="0"/>
        <v>86.5</v>
      </c>
    </row>
    <row r="35" spans="1:13" ht="15" customHeight="1">
      <c r="A35" s="144"/>
      <c r="B35" s="68">
        <v>0.2</v>
      </c>
      <c r="C35" s="64">
        <v>2.5</v>
      </c>
      <c r="D35" s="64">
        <v>1</v>
      </c>
      <c r="E35" s="64">
        <v>2.5</v>
      </c>
      <c r="F35" s="64">
        <v>2</v>
      </c>
      <c r="G35" s="64">
        <v>2.5</v>
      </c>
      <c r="H35" s="64">
        <v>4</v>
      </c>
      <c r="I35" s="64">
        <v>2.5</v>
      </c>
      <c r="J35" s="64">
        <v>4</v>
      </c>
      <c r="K35" s="64">
        <v>2.5</v>
      </c>
      <c r="L35" s="80">
        <v>9</v>
      </c>
      <c r="M35" s="82">
        <f t="shared" si="0"/>
        <v>50</v>
      </c>
    </row>
    <row r="36" spans="1:13" ht="15" customHeight="1">
      <c r="A36" s="144"/>
      <c r="B36" s="67" t="s">
        <v>16</v>
      </c>
      <c r="C36" s="64">
        <v>3</v>
      </c>
      <c r="D36" s="64">
        <v>1</v>
      </c>
      <c r="E36" s="64">
        <v>3</v>
      </c>
      <c r="F36" s="64">
        <v>2</v>
      </c>
      <c r="G36" s="64">
        <v>3</v>
      </c>
      <c r="H36" s="64">
        <v>4</v>
      </c>
      <c r="I36" s="64">
        <v>2.5</v>
      </c>
      <c r="J36" s="64">
        <v>4</v>
      </c>
      <c r="K36" s="64">
        <v>2</v>
      </c>
      <c r="L36" s="80">
        <v>9</v>
      </c>
      <c r="M36" s="82">
        <f t="shared" si="0"/>
        <v>49</v>
      </c>
    </row>
    <row r="37" spans="1:13" ht="15" customHeight="1">
      <c r="A37" s="145"/>
      <c r="B37" s="74" t="s">
        <v>19</v>
      </c>
      <c r="C37" s="64">
        <v>2.5</v>
      </c>
      <c r="D37" s="64">
        <v>1</v>
      </c>
      <c r="E37" s="64">
        <v>2.5</v>
      </c>
      <c r="F37" s="64">
        <v>2</v>
      </c>
      <c r="G37" s="64">
        <v>2.5</v>
      </c>
      <c r="H37" s="64">
        <v>4</v>
      </c>
      <c r="I37" s="64">
        <v>2</v>
      </c>
      <c r="J37" s="64">
        <v>4</v>
      </c>
      <c r="K37" s="64">
        <v>2</v>
      </c>
      <c r="L37" s="80">
        <v>9</v>
      </c>
      <c r="M37" s="82">
        <f t="shared" si="0"/>
        <v>43.5</v>
      </c>
    </row>
    <row r="38" spans="1:13" ht="15" customHeight="1">
      <c r="A38" s="143">
        <v>8</v>
      </c>
      <c r="B38" s="69" t="s">
        <v>9</v>
      </c>
      <c r="C38" s="70">
        <v>4</v>
      </c>
      <c r="D38" s="70">
        <v>1</v>
      </c>
      <c r="E38" s="70">
        <v>4</v>
      </c>
      <c r="F38" s="70">
        <v>2</v>
      </c>
      <c r="G38" s="70">
        <v>4</v>
      </c>
      <c r="H38" s="70">
        <v>4</v>
      </c>
      <c r="I38" s="70">
        <v>4</v>
      </c>
      <c r="J38" s="70">
        <v>4</v>
      </c>
      <c r="K38" s="70">
        <v>4</v>
      </c>
      <c r="L38" s="79">
        <v>9</v>
      </c>
      <c r="M38" s="77">
        <f t="shared" si="0"/>
        <v>80</v>
      </c>
    </row>
    <row r="39" spans="1:13" ht="15" customHeight="1">
      <c r="A39" s="144"/>
      <c r="B39" s="68">
        <v>0.1</v>
      </c>
      <c r="C39" s="64">
        <v>4</v>
      </c>
      <c r="D39" s="64">
        <v>1</v>
      </c>
      <c r="E39" s="64">
        <v>4</v>
      </c>
      <c r="F39" s="64">
        <v>2</v>
      </c>
      <c r="G39" s="64">
        <v>3.5</v>
      </c>
      <c r="H39" s="64">
        <v>4</v>
      </c>
      <c r="I39" s="64">
        <v>3.5</v>
      </c>
      <c r="J39" s="64">
        <v>4</v>
      </c>
      <c r="K39" s="64">
        <v>3</v>
      </c>
      <c r="L39" s="80">
        <v>9</v>
      </c>
      <c r="M39" s="82">
        <f t="shared" si="0"/>
        <v>67</v>
      </c>
    </row>
    <row r="40" spans="1:13" ht="15" customHeight="1">
      <c r="A40" s="144"/>
      <c r="B40" s="68">
        <v>0.2</v>
      </c>
      <c r="C40" s="64">
        <v>2.5</v>
      </c>
      <c r="D40" s="64">
        <v>1</v>
      </c>
      <c r="E40" s="64">
        <v>2.5</v>
      </c>
      <c r="F40" s="64">
        <v>2</v>
      </c>
      <c r="G40" s="64">
        <v>2.5</v>
      </c>
      <c r="H40" s="64">
        <v>4</v>
      </c>
      <c r="I40" s="64">
        <v>2</v>
      </c>
      <c r="J40" s="64">
        <v>4</v>
      </c>
      <c r="K40" s="64">
        <v>2</v>
      </c>
      <c r="L40" s="80">
        <v>9</v>
      </c>
      <c r="M40" s="82">
        <f t="shared" si="0"/>
        <v>43.5</v>
      </c>
    </row>
    <row r="41" spans="1:13" ht="15" customHeight="1">
      <c r="A41" s="144"/>
      <c r="B41" s="67" t="s">
        <v>16</v>
      </c>
      <c r="C41" s="64">
        <v>4</v>
      </c>
      <c r="D41" s="64">
        <v>1</v>
      </c>
      <c r="E41" s="64">
        <v>4.5</v>
      </c>
      <c r="F41" s="64">
        <v>2</v>
      </c>
      <c r="G41" s="64">
        <v>4</v>
      </c>
      <c r="H41" s="64">
        <v>4</v>
      </c>
      <c r="I41" s="64">
        <v>3.5</v>
      </c>
      <c r="J41" s="64">
        <v>4</v>
      </c>
      <c r="K41" s="64">
        <v>3</v>
      </c>
      <c r="L41" s="80">
        <v>9</v>
      </c>
      <c r="M41" s="82">
        <f t="shared" si="0"/>
        <v>70</v>
      </c>
    </row>
    <row r="42" spans="1:13" ht="15" customHeight="1">
      <c r="A42" s="146"/>
      <c r="B42" s="71" t="s">
        <v>19</v>
      </c>
      <c r="C42" s="72">
        <v>2</v>
      </c>
      <c r="D42" s="72">
        <v>1</v>
      </c>
      <c r="E42" s="72">
        <v>3</v>
      </c>
      <c r="F42" s="72">
        <v>2</v>
      </c>
      <c r="G42" s="72">
        <v>2.5</v>
      </c>
      <c r="H42" s="72">
        <v>4</v>
      </c>
      <c r="I42" s="72">
        <v>2</v>
      </c>
      <c r="J42" s="72">
        <v>4</v>
      </c>
      <c r="K42" s="72">
        <v>2</v>
      </c>
      <c r="L42" s="59">
        <v>9</v>
      </c>
      <c r="M42" s="83">
        <f t="shared" si="0"/>
        <v>44</v>
      </c>
    </row>
  </sheetData>
  <mergeCells count="14">
    <mergeCell ref="A28:A32"/>
    <mergeCell ref="A33:A37"/>
    <mergeCell ref="A38:A42"/>
    <mergeCell ref="A8:A12"/>
    <mergeCell ref="A13:A17"/>
    <mergeCell ref="A18:A22"/>
    <mergeCell ref="A23:A27"/>
    <mergeCell ref="I1:J1"/>
    <mergeCell ref="K1:L1"/>
    <mergeCell ref="A3:A7"/>
    <mergeCell ref="A1:A2"/>
    <mergeCell ref="C1:D1"/>
    <mergeCell ref="E1:F1"/>
    <mergeCell ref="G1:H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5D2D9-005C-4C1B-97B9-4B14693B5DB2}">
  <dimension ref="A1:C31"/>
  <sheetViews>
    <sheetView showGridLines="0" workbookViewId="0">
      <selection activeCell="C27" sqref="C27:C31"/>
    </sheetView>
  </sheetViews>
  <sheetFormatPr defaultRowHeight="14.45"/>
  <cols>
    <col min="1" max="1" width="9.5703125" customWidth="1"/>
    <col min="2" max="2" width="8.85546875" customWidth="1"/>
  </cols>
  <sheetData>
    <row r="1" spans="1:3">
      <c r="A1" s="4" t="s">
        <v>114</v>
      </c>
      <c r="B1" s="5" t="s">
        <v>115</v>
      </c>
      <c r="C1" s="6" t="s">
        <v>116</v>
      </c>
    </row>
    <row r="2" spans="1:3">
      <c r="A2" s="2">
        <v>148</v>
      </c>
      <c r="B2" s="1">
        <v>24.140899999999998</v>
      </c>
      <c r="C2" s="3" t="s">
        <v>7</v>
      </c>
    </row>
    <row r="3" spans="1:3">
      <c r="A3" s="2">
        <v>485</v>
      </c>
      <c r="B3" s="1">
        <v>26.9466</v>
      </c>
      <c r="C3" s="3" t="s">
        <v>7</v>
      </c>
    </row>
    <row r="4" spans="1:3">
      <c r="A4" s="2">
        <v>212</v>
      </c>
      <c r="B4" s="1">
        <v>27.517900000000001</v>
      </c>
      <c r="C4" s="3" t="s">
        <v>7</v>
      </c>
    </row>
    <row r="5" spans="1:3">
      <c r="A5" s="2">
        <v>471</v>
      </c>
      <c r="B5" s="1">
        <v>27.315000000000001</v>
      </c>
      <c r="C5" s="3" t="s">
        <v>7</v>
      </c>
    </row>
    <row r="6" spans="1:3">
      <c r="A6" s="2">
        <v>446</v>
      </c>
      <c r="B6" s="1">
        <v>27.4846</v>
      </c>
      <c r="C6" s="3" t="s">
        <v>7</v>
      </c>
    </row>
    <row r="7" spans="1:3">
      <c r="A7" s="2">
        <v>352</v>
      </c>
      <c r="B7" s="1">
        <v>23.6953</v>
      </c>
      <c r="C7" s="3" t="s">
        <v>7</v>
      </c>
    </row>
    <row r="8" spans="1:3">
      <c r="A8" s="2">
        <v>793</v>
      </c>
      <c r="B8" s="1">
        <v>27.247299999999999</v>
      </c>
      <c r="C8" s="3" t="s">
        <v>7</v>
      </c>
    </row>
    <row r="9" spans="1:3">
      <c r="A9" s="2">
        <v>403</v>
      </c>
      <c r="B9" s="1">
        <v>26.941700000000001</v>
      </c>
      <c r="C9" s="3" t="s">
        <v>7</v>
      </c>
    </row>
    <row r="10" spans="1:3">
      <c r="A10" s="2">
        <v>14</v>
      </c>
      <c r="B10" s="1">
        <v>20.060600000000001</v>
      </c>
      <c r="C10" s="3" t="s">
        <v>117</v>
      </c>
    </row>
    <row r="11" spans="1:3">
      <c r="A11" s="2">
        <v>18</v>
      </c>
      <c r="B11" s="1">
        <v>21.0947</v>
      </c>
      <c r="C11" s="3" t="s">
        <v>117</v>
      </c>
    </row>
    <row r="12" spans="1:3">
      <c r="A12" s="2">
        <v>15</v>
      </c>
      <c r="B12" s="1">
        <v>19.1663</v>
      </c>
      <c r="C12" s="3" t="s">
        <v>117</v>
      </c>
    </row>
    <row r="13" spans="1:3">
      <c r="A13" s="2">
        <v>5</v>
      </c>
      <c r="B13" s="1">
        <v>20.0899</v>
      </c>
      <c r="C13" s="3" t="s">
        <v>117</v>
      </c>
    </row>
    <row r="14" spans="1:3">
      <c r="A14" s="2">
        <v>22</v>
      </c>
      <c r="B14" s="1">
        <v>20.1067</v>
      </c>
      <c r="C14" s="3" t="s">
        <v>117</v>
      </c>
    </row>
    <row r="15" spans="1:3">
      <c r="A15" s="2">
        <v>4</v>
      </c>
      <c r="B15" s="1">
        <v>18.419599999999999</v>
      </c>
      <c r="C15" s="3" t="s">
        <v>117</v>
      </c>
    </row>
    <row r="16" spans="1:3">
      <c r="A16" s="2">
        <v>21</v>
      </c>
      <c r="B16" s="1">
        <v>19.807200000000002</v>
      </c>
      <c r="C16" s="3" t="s">
        <v>117</v>
      </c>
    </row>
    <row r="17" spans="1:3">
      <c r="A17" s="7">
        <v>25</v>
      </c>
      <c r="B17" s="8">
        <v>19.177099999999999</v>
      </c>
      <c r="C17" s="9" t="s">
        <v>117</v>
      </c>
    </row>
    <row r="18" spans="1:3">
      <c r="A18" s="7">
        <v>566</v>
      </c>
      <c r="B18" s="8">
        <v>22.6677</v>
      </c>
      <c r="C18" s="3" t="s">
        <v>7</v>
      </c>
    </row>
    <row r="19" spans="1:3">
      <c r="A19" s="7">
        <v>462</v>
      </c>
      <c r="B19" s="8">
        <v>27.725999999999999</v>
      </c>
      <c r="C19" s="3" t="s">
        <v>7</v>
      </c>
    </row>
    <row r="20" spans="1:3">
      <c r="A20" s="7">
        <v>440</v>
      </c>
      <c r="B20" s="8">
        <v>26.962299999999999</v>
      </c>
      <c r="C20" s="3" t="s">
        <v>7</v>
      </c>
    </row>
    <row r="21" spans="1:3">
      <c r="A21" s="7">
        <v>352.1</v>
      </c>
      <c r="B21" s="8">
        <v>23.090199999999999</v>
      </c>
      <c r="C21" s="3" t="s">
        <v>7</v>
      </c>
    </row>
    <row r="22" spans="1:3">
      <c r="A22" s="7">
        <v>16</v>
      </c>
      <c r="B22" s="8">
        <v>19.058900000000001</v>
      </c>
      <c r="C22" s="9" t="s">
        <v>117</v>
      </c>
    </row>
    <row r="23" spans="1:3">
      <c r="A23" s="7">
        <v>23</v>
      </c>
      <c r="B23" s="8">
        <v>20.674199999999999</v>
      </c>
      <c r="C23" s="9" t="s">
        <v>117</v>
      </c>
    </row>
    <row r="24" spans="1:3">
      <c r="A24" s="7">
        <v>3</v>
      </c>
      <c r="B24" s="8">
        <v>18.671800000000001</v>
      </c>
      <c r="C24" s="9" t="s">
        <v>117</v>
      </c>
    </row>
    <row r="25" spans="1:3">
      <c r="A25" s="7">
        <v>2</v>
      </c>
      <c r="B25" s="8">
        <v>16.8659</v>
      </c>
      <c r="C25" s="9" t="s">
        <v>117</v>
      </c>
    </row>
    <row r="26" spans="1:3" ht="15">
      <c r="A26" s="7">
        <v>24</v>
      </c>
      <c r="B26" s="46">
        <v>20.512</v>
      </c>
      <c r="C26" s="9" t="s">
        <v>117</v>
      </c>
    </row>
    <row r="27" spans="1:3">
      <c r="A27" s="7">
        <v>14.1</v>
      </c>
      <c r="B27" s="8">
        <v>20.073499999999999</v>
      </c>
      <c r="C27" s="9" t="s">
        <v>117</v>
      </c>
    </row>
    <row r="28" spans="1:3">
      <c r="A28" s="7">
        <v>15.1</v>
      </c>
      <c r="B28" s="8">
        <v>19.158100000000001</v>
      </c>
      <c r="C28" s="9" t="s">
        <v>117</v>
      </c>
    </row>
    <row r="29" spans="1:3">
      <c r="A29" s="7">
        <v>4.0999999999999996</v>
      </c>
      <c r="B29" s="8">
        <v>18.4556</v>
      </c>
      <c r="C29" s="9" t="s">
        <v>117</v>
      </c>
    </row>
    <row r="30" spans="1:3">
      <c r="A30" s="7">
        <v>22.1</v>
      </c>
      <c r="B30" s="8">
        <v>20.122699999999998</v>
      </c>
      <c r="C30" s="9" t="s">
        <v>117</v>
      </c>
    </row>
    <row r="31" spans="1:3">
      <c r="A31" s="7">
        <v>18.100000000000001</v>
      </c>
      <c r="B31" s="8">
        <v>21.118099999999998</v>
      </c>
      <c r="C31" s="9" t="s">
        <v>117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EF6D0A-D56E-4663-84C4-8EB9A22F13EB}">
  <dimension ref="A2:E11"/>
  <sheetViews>
    <sheetView workbookViewId="0">
      <selection activeCell="E12" sqref="E12"/>
    </sheetView>
  </sheetViews>
  <sheetFormatPr defaultRowHeight="15"/>
  <sheetData>
    <row r="2" spans="1:5">
      <c r="A2" t="s">
        <v>118</v>
      </c>
    </row>
    <row r="3" spans="1:5">
      <c r="A3" t="s">
        <v>119</v>
      </c>
    </row>
    <row r="4" spans="1:5">
      <c r="A4" t="s">
        <v>70</v>
      </c>
      <c r="B4" s="45" t="s">
        <v>120</v>
      </c>
    </row>
    <row r="9" spans="1:5">
      <c r="C9">
        <f>26.9474+5.005</f>
        <v>31.952399999999997</v>
      </c>
      <c r="D9">
        <v>31.4846</v>
      </c>
      <c r="E9">
        <f>(C9-D9)/5.005</f>
        <v>9.3466533466532845E-2</v>
      </c>
    </row>
    <row r="11" spans="1:5">
      <c r="E11">
        <f>1-E9</f>
        <v>0.90653346653346711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16169-8E94-4F60-8420-8AF6A19A028C}">
  <dimension ref="A1"/>
  <sheetViews>
    <sheetView workbookViewId="0"/>
  </sheetViews>
  <sheetFormatPr defaultRowHeight="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Lucia Buzzeo</cp:lastModifiedBy>
  <cp:revision/>
  <dcterms:created xsi:type="dcterms:W3CDTF">2025-10-21T06:36:07Z</dcterms:created>
  <dcterms:modified xsi:type="dcterms:W3CDTF">2025-12-19T13:00:23Z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8104b14-b53d-46de-9ae8-975cc0e84815_Enabled">
    <vt:lpwstr>true</vt:lpwstr>
  </property>
  <property fmtid="{D5CDD505-2E9C-101B-9397-08002B2CF9AE}" pid="3" name="MSIP_Label_68104b14-b53d-46de-9ae8-975cc0e84815_SetDate">
    <vt:lpwstr>2025-10-21T08:53:56Z</vt:lpwstr>
  </property>
  <property fmtid="{D5CDD505-2E9C-101B-9397-08002B2CF9AE}" pid="4" name="MSIP_Label_68104b14-b53d-46de-9ae8-975cc0e84815_Method">
    <vt:lpwstr>Standard</vt:lpwstr>
  </property>
  <property fmtid="{D5CDD505-2E9C-101B-9397-08002B2CF9AE}" pid="5" name="MSIP_Label_68104b14-b53d-46de-9ae8-975cc0e84815_Name">
    <vt:lpwstr>ABI_MIP_InternalUseOnly</vt:lpwstr>
  </property>
  <property fmtid="{D5CDD505-2E9C-101B-9397-08002B2CF9AE}" pid="6" name="MSIP_Label_68104b14-b53d-46de-9ae8-975cc0e84815_SiteId">
    <vt:lpwstr>cef04b19-7776-4a94-b89b-375c77a8f936</vt:lpwstr>
  </property>
  <property fmtid="{D5CDD505-2E9C-101B-9397-08002B2CF9AE}" pid="7" name="MSIP_Label_68104b14-b53d-46de-9ae8-975cc0e84815_ActionId">
    <vt:lpwstr>e0bce83c-9ed2-4216-b8aa-7f5c6ad38684</vt:lpwstr>
  </property>
  <property fmtid="{D5CDD505-2E9C-101B-9397-08002B2CF9AE}" pid="8" name="MSIP_Label_68104b14-b53d-46de-9ae8-975cc0e84815_ContentBits">
    <vt:lpwstr>0</vt:lpwstr>
  </property>
</Properties>
</file>